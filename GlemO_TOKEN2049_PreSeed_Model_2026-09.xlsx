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bf9916b31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d488541aab4211"/>
    <x:sheet xmlns:r="http://schemas.openxmlformats.org/officeDocument/2006/relationships" name="Assumptions" sheetId="2" r:id="Rdc80f57dfe6d4fb9"/>
    <x:sheet xmlns:r="http://schemas.openxmlformats.org/officeDocument/2006/relationships" name="Use of Funds" sheetId="3" r:id="Ra0ae70bebb2547e3"/>
    <x:sheet xmlns:r="http://schemas.openxmlformats.org/officeDocument/2006/relationships" name="Monthly Burn" sheetId="4" r:id="Rc0d14d51d8fb4b86"/>
    <x:sheet xmlns:r="http://schemas.openxmlformats.org/officeDocument/2006/relationships" name="Milestone Gates" sheetId="5" r:id="Rc94e01cd918140f4"/>
    <x:sheet xmlns:r="http://schemas.openxmlformats.org/officeDocument/2006/relationships" name="GTM Pricing" sheetId="6" r:id="R67e5e137aa854d17"/>
    <x:sheet xmlns:r="http://schemas.openxmlformats.org/officeDocument/2006/relationships" name="Evidence Map" sheetId="7" r:id="R97db81169ded4b61"/>
    <x:sheet xmlns:r="http://schemas.openxmlformats.org/officeDocument/2006/relationships" name="Checks" sheetId="8" r:id="Rf5b536b059d64b7c"/>
    <x:sheet xmlns:r="http://schemas.openxmlformats.org/officeDocument/2006/relationships" name="Sources" sheetId="9" r:id="Rb2f94cc984904d43"/>
    <x:sheet xmlns:r="http://schemas.openxmlformats.org/officeDocument/2006/relationships" name="Revenue Model" sheetId="10" r:id="R3501f0074b58459a"/>
    <x:sheet xmlns:r="http://schemas.openxmlformats.org/officeDocument/2006/relationships" name="Financial Projection" sheetId="11" r:id="R6ec5eeea8afd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_(&quot;$&quot;_* #,##0_);_(&quot;$&quot;_* (#,##0);_(* &quot;-&quot;_);_(@_)"/>
    <x:numFmt numFmtId="165" formatCode="_(* #,##0_);_(* (#,##0);_(* &quot;-&quot;_);_(@_)"/>
    <x:numFmt numFmtId="166" formatCode="_(* 0.0%_);_(* (0.0%);_(* &quot;-&quot;_);_(@_)"/>
    <x:numFmt numFmtId="200" formatCode="$#,##0;[Red]($#,##0);-"/>
    <x:numFmt numFmtId="201" formatCode="#,##0;[Red](#,##0);-"/>
    <x:numFmt numFmtId="202" formatCode="0.00%"/>
    <x:numFmt numFmtId="203" formatCode="0.0%;[Red](0.0%);-"/>
  </x:numFmts>
  <x:fonts count="14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111827"/>
      <x:name val="Arial"/>
    </x:font>
    <x:font>
      <x:sz val="10"/>
      <x:color rgb="FF111827"/>
      <x:name val="Arial"/>
    </x:font>
    <x:font>
      <x:sz val="10"/>
      <x:color rgb="FF0000FF"/>
      <x:name val="Arial"/>
    </x:font>
    <x:font>
      <x:i/>
      <x:sz val="10"/>
      <x:color rgb="FF172033"/>
      <x:name val="Arial"/>
    </x:font>
    <x:font>
      <x:i/>
      <x:sz val="11"/>
      <x:color rgb="FF172033"/>
      <x:name val="Carlito"/>
    </x:font>
    <x:font>
      <x:sz val="11"/>
      <x:color rgb="FF1463FF"/>
      <x:name val="Carlito"/>
    </x:font>
    <x:font>
      <x:b/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  <x:font>
      <x:sz val="10"/>
      <x:color rgb="FF17203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EAF1FF"/>
      </x:patternFill>
    </x:fill>
    <x:fill>
      <x:patternFill patternType="solid">
        <x:fgColor rgb="FFFFF3C7"/>
      </x:patternFill>
    </x:fill>
    <x:fill>
      <x:patternFill patternType="solid">
        <x:fgColor rgb="FF07132D"/>
      </x:patternFill>
    </x:fill>
    <x:fill>
      <x:patternFill patternType="solid">
        <x:fgColor rgb="FFE8F5EC"/>
      </x:patternFill>
    </x:fill>
    <x:fill>
      <x:patternFill patternType="solid">
        <x:fgColor rgb="FFF7F9FC"/>
      </x:patternFill>
    </x:fill>
    <x:fill>
      <x:patternFill patternType="solid">
        <x:fgColor rgb="FFFDEBEC"/>
      </x:patternFill>
    </x:fill>
  </x:fills>
  <x:borders count="20">
    <x:border/>
    <x:border>
      <x:bottom style="thin">
        <x:color rgb="FF9CA3AF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6B728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1" fillId="0" borderId="0" xfId="0"/>
    <x:xf numFmtId="0" fontId="1" fillId="0" borderId="1" xfId="0"/>
    <x:xf numFmtId="0" fontId="2" fillId="0" borderId="0" xfId="0"/>
    <x:xf numFmtId="0" fontId="0" fillId="0" borderId="0" xfId="0"/>
    <x:xf numFmtId="0" fontId="3" fillId="0" borderId="0" xfId="0"/>
    <x:xf numFmtId="0" fontId="3" fillId="0" borderId="2" xfId="0"/>
    <x:xf numFmtId="0" fontId="3" fillId="0" borderId="3" xfId="0"/>
    <x:xf numFmtId="0" fontId="3" fillId="0" borderId="4" xfId="0"/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 wrapText="1"/>
    </x:xf>
    <x:xf numFmtId="0" fontId="3" fillId="0" borderId="5" xfId="0" applyAlignment="1">
      <x:alignment horizontal="center" vertical="center" wrapText="1"/>
    </x:xf>
    <x:xf numFmtId="0" fontId="4" fillId="0" borderId="0" xfId="0"/>
    <x:xf numFmtId="0" fontId="4" fillId="0" borderId="0" xfId="0" applyAlignment="1">
      <x:alignment vertical="top"/>
    </x:xf>
    <x:xf numFmtId="0" fontId="4" fillId="0" borderId="0" xfId="0" applyAlignment="1">
      <x:alignment vertical="top" wrapText="1"/>
    </x:xf>
    <x:xf numFmtId="0" fontId="4" fillId="0" borderId="6" xfId="0" applyAlignment="1">
      <x:alignment vertical="top" wrapText="1"/>
    </x:xf>
    <x:xf numFmtId="0" fontId="4" fillId="0" borderId="7" xfId="0" applyAlignment="1">
      <x:alignment vertical="top" wrapText="1"/>
    </x:xf>
    <x:xf numFmtId="0" fontId="4" fillId="0" borderId="8" xfId="0" applyAlignment="1">
      <x:alignment vertical="top" wrapText="1"/>
    </x:xf>
    <x:xf numFmtId="0" fontId="4" fillId="0" borderId="9" xfId="0" applyAlignment="1">
      <x:alignment vertical="top" wrapText="1"/>
    </x:xf>
    <x:xf numFmtId="0" fontId="4" fillId="0" borderId="10" xfId="0" applyAlignment="1">
      <x:alignment vertical="top" wrapText="1"/>
    </x:xf>
    <x:xf numFmtId="0" fontId="4" fillId="0" borderId="11" xfId="0" applyAlignment="1">
      <x:alignment vertical="top" wrapText="1"/>
    </x:xf>
    <x:xf numFmtId="0" fontId="4" fillId="0" borderId="12" xfId="0" applyAlignment="1">
      <x:alignment vertical="top" wrapText="1"/>
    </x:xf>
    <x:xf numFmtId="0" fontId="4" fillId="0" borderId="13" xfId="0" applyAlignment="1">
      <x:alignment vertical="top" wrapText="1"/>
    </x:xf>
    <x:xf numFmtId="0" fontId="4" fillId="0" borderId="14" xfId="0" applyAlignment="1">
      <x:alignment vertical="top" wrapText="1"/>
    </x:xf>
    <x:xf numFmtId="164" fontId="4" fillId="0" borderId="7" xfId="0" applyAlignment="1">
      <x:alignment vertical="top" wrapText="1"/>
    </x:xf>
    <x:xf numFmtId="164" fontId="4" fillId="0" borderId="10" xfId="0" applyAlignment="1">
      <x:alignment vertical="top" wrapText="1"/>
    </x:xf>
    <x:xf numFmtId="0" fontId="5" fillId="0" borderId="7" xfId="0" applyAlignment="1">
      <x:alignment vertical="top" wrapText="1"/>
    </x:xf>
    <x:xf numFmtId="0" fontId="5" fillId="0" borderId="10" xfId="0" applyAlignment="1">
      <x:alignment vertical="top" wrapText="1"/>
    </x:xf>
    <x:xf numFmtId="0" fontId="5" fillId="0" borderId="13" xfId="0" applyAlignment="1">
      <x:alignment vertical="top" wrapText="1"/>
    </x:xf>
    <x:xf numFmtId="0" fontId="5" fillId="0" borderId="7" xfId="0" applyAlignment="1">
      <x:alignment vertical="top" wrapText="1"/>
    </x:xf>
    <x:xf numFmtId="0" fontId="5" fillId="0" borderId="10" xfId="0" applyAlignment="1">
      <x:alignment vertical="top" wrapText="1"/>
    </x:xf>
    <x:xf numFmtId="0" fontId="5" fillId="0" borderId="13" xfId="0" applyAlignment="1">
      <x:alignment vertical="top" wrapText="1"/>
    </x:xf>
    <x:xf numFmtId="164" fontId="5" fillId="0" borderId="7" xfId="0" applyAlignment="1">
      <x:alignment vertical="top" wrapText="1"/>
    </x:xf>
    <x:xf numFmtId="164" fontId="5" fillId="0" borderId="10" xfId="0" applyAlignment="1">
      <x:alignment vertical="top" wrapText="1"/>
    </x:xf>
    <x:xf numFmtId="165" fontId="5" fillId="0" borderId="13" xfId="0" applyAlignment="1">
      <x:alignment vertical="top" wrapText="1"/>
    </x:xf>
    <x:xf numFmtId="164" fontId="4" fillId="0" borderId="13" xfId="0" applyAlignment="1">
      <x:alignment vertical="top" wrapText="1"/>
    </x:xf>
    <x:xf numFmtId="166" fontId="4" fillId="0" borderId="7" xfId="0" applyAlignment="1">
      <x:alignment vertical="top" wrapText="1"/>
    </x:xf>
    <x:xf numFmtId="166" fontId="4" fillId="0" borderId="10" xfId="0" applyAlignment="1">
      <x:alignment vertical="top" wrapText="1"/>
    </x:xf>
    <x:xf numFmtId="166" fontId="4" fillId="0" borderId="13" xfId="0" applyAlignment="1">
      <x:alignment vertical="top" wrapText="1"/>
    </x:xf>
    <x:xf numFmtId="0" fontId="3" fillId="0" borderId="12" xfId="0" applyAlignment="1">
      <x:alignment vertical="top" wrapText="1"/>
    </x:xf>
    <x:xf numFmtId="164" fontId="3" fillId="0" borderId="13" xfId="0" applyAlignment="1">
      <x:alignment vertical="top" wrapText="1"/>
    </x:xf>
    <x:xf numFmtId="166" fontId="3" fillId="0" borderId="13" xfId="0" applyAlignment="1">
      <x:alignment vertical="top" wrapText="1"/>
    </x:xf>
    <x:xf numFmtId="0" fontId="3" fillId="0" borderId="14" xfId="0" applyAlignment="1">
      <x:alignment vertical="top" wrapText="1"/>
    </x:xf>
    <x:xf numFmtId="164" fontId="4" fillId="0" borderId="6" xfId="0" applyAlignment="1">
      <x:alignment vertical="top" wrapText="1"/>
    </x:xf>
    <x:xf numFmtId="164" fontId="4" fillId="0" borderId="8" xfId="0" applyAlignment="1">
      <x:alignment vertical="top" wrapText="1"/>
    </x:xf>
    <x:xf numFmtId="164" fontId="4" fillId="0" borderId="9" xfId="0" applyAlignment="1">
      <x:alignment vertical="top" wrapText="1"/>
    </x:xf>
    <x:xf numFmtId="164" fontId="4" fillId="0" borderId="11" xfId="0" applyAlignment="1">
      <x:alignment vertical="top" wrapText="1"/>
    </x:xf>
    <x:xf numFmtId="164" fontId="4" fillId="0" borderId="7" xfId="0" applyAlignment="1">
      <x:alignment vertical="top" wrapText="1"/>
    </x:xf>
    <x:xf numFmtId="164" fontId="4" fillId="0" borderId="10" xfId="0" applyAlignment="1">
      <x:alignment vertical="top" wrapText="1"/>
    </x:xf>
    <x:xf numFmtId="164" fontId="5" fillId="0" borderId="7" xfId="0" applyAlignment="1">
      <x:alignment vertical="top" wrapText="1"/>
    </x:xf>
    <x:xf numFmtId="164" fontId="5" fillId="0" borderId="10" xfId="0" applyAlignment="1">
      <x:alignment vertical="top" wrapText="1"/>
    </x:xf>
    <x:xf numFmtId="165" fontId="5" fillId="0" borderId="13" xfId="0" applyAlignment="1">
      <x:alignment vertical="top" wrapText="1"/>
    </x:xf>
    <x:xf numFmtId="166" fontId="4" fillId="0" borderId="7" xfId="0" applyAlignment="1">
      <x:alignment vertical="top" wrapText="1"/>
    </x:xf>
    <x:xf numFmtId="166" fontId="4" fillId="0" borderId="10" xfId="0" applyAlignment="1">
      <x:alignment vertical="top" wrapText="1"/>
    </x:xf>
    <x:xf numFmtId="164" fontId="3" fillId="0" borderId="13" xfId="0" applyAlignment="1">
      <x:alignment vertical="top" wrapText="1"/>
    </x:xf>
    <x:xf numFmtId="166" fontId="3" fillId="0" borderId="13" xfId="0" applyAlignment="1">
      <x:alignment vertical="top" wrapText="1"/>
    </x:xf>
    <x:xf numFmtId="164" fontId="4" fillId="0" borderId="6" xfId="0" applyAlignment="1">
      <x:alignment vertical="top" wrapText="1"/>
    </x:xf>
    <x:xf numFmtId="164" fontId="4" fillId="0" borderId="8" xfId="0" applyAlignment="1">
      <x:alignment vertical="top" wrapText="1"/>
    </x:xf>
    <x:xf numFmtId="164" fontId="4" fillId="0" borderId="9" xfId="0" applyAlignment="1">
      <x:alignment vertical="top" wrapText="1"/>
    </x:xf>
    <x:xf numFmtId="164" fontId="4" fillId="0" borderId="11" xfId="0" applyAlignment="1">
      <x:alignment vertical="top" wrapText="1"/>
    </x:xf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16" xfId="0" applyNumberFormat="1" applyFont="1" applyFill="1" applyBorder="1"/>
    <x:xf numFmtId="0" fontId="9" fillId="2" borderId="17" xfId="0" applyNumberFormat="1" applyFont="1" applyFill="1" applyBorder="1"/>
    <x:xf numFmtId="0" fontId="9" fillId="2" borderId="18" xfId="0" applyNumberFormat="1" applyFont="1" applyFill="1" applyBorder="1"/>
    <x:xf numFmtId="0" fontId="9" fillId="2" borderId="16" xfId="0" applyNumberFormat="1" applyFont="1" applyFill="1" applyBorder="1" applyAlignment="1">
      <x:alignment wrapText="1"/>
    </x:xf>
    <x:xf numFmtId="0" fontId="9" fillId="2" borderId="17" xfId="0" applyNumberFormat="1" applyFont="1" applyFill="1" applyBorder="1" applyAlignment="1">
      <x:alignment wrapText="1"/>
    </x:xf>
    <x:xf numFmtId="0" fontId="9" fillId="2" borderId="18" xfId="0" applyNumberFormat="1" applyFont="1" applyFill="1" applyBorder="1" applyAlignment="1">
      <x:alignment wrapText="1"/>
    </x:xf>
    <x:xf numFmtId="0" fontId="9" fillId="2" borderId="16" xfId="0" applyNumberFormat="1" applyFont="1" applyFill="1" applyBorder="1" applyAlignment="1">
      <x:alignment horizontal="center" wrapText="1"/>
    </x:xf>
    <x:xf numFmtId="0" fontId="9" fillId="2" borderId="17" xfId="0" applyNumberFormat="1" applyFont="1" applyFill="1" applyBorder="1" applyAlignment="1">
      <x:alignment horizontal="center" wrapText="1"/>
    </x:xf>
    <x:xf numFmtId="0" fontId="9" fillId="2" borderId="18" xfId="0" applyNumberFormat="1" applyFont="1" applyFill="1" applyBorder="1" applyAlignment="1">
      <x:alignment horizontal="center" wrapText="1"/>
    </x:xf>
    <x:xf numFmtId="0" fontId="9" fillId="2" borderId="16" xfId="0" applyNumberFormat="1" applyFont="1" applyFill="1" applyBorder="1" applyAlignment="1">
      <x:alignment horizontal="center" vertical="center" wrapText="1"/>
    </x:xf>
    <x:xf numFmtId="0" fontId="9" fillId="2" borderId="17" xfId="0" applyNumberFormat="1" applyFont="1" applyFill="1" applyBorder="1" applyAlignment="1">
      <x:alignment horizontal="center" vertical="center" wrapText="1"/>
    </x:xf>
    <x:xf numFmtId="0" fontId="9" fillId="2" borderId="18" xfId="0" applyNumberFormat="1" applyFont="1" applyFill="1" applyBorder="1" applyAlignment="1">
      <x:alignment horizontal="center" vertical="center" wrapText="1"/>
    </x:xf>
    <x:xf numFmtId="201" fontId="8" fillId="3" borderId="0" xfId="0" applyNumberFormat="1" applyFont="1" applyFill="1" applyBorder="1"/>
    <x:xf numFmtId="202" fontId="8" fillId="3" borderId="0" xfId="0" applyNumberFormat="1" applyFont="1" applyFill="1" applyBorder="1"/>
    <x:xf numFmtId="203" fontId="8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9" fillId="2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0" fontId="0" fillId="0" borderId="19" xfId="0" applyNumberFormat="1" applyFont="1" applyFill="1" applyBorder="1"/>
    <x:xf numFmtId="200" fontId="0" fillId="0" borderId="19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wrapText="1"/>
    </x:xf>
    <x:xf numFmtId="200" fontId="8" fillId="3" borderId="0" xfId="0" applyNumberFormat="1" applyFont="1" applyFill="1" applyBorder="1" applyAlignment="1">
      <x:alignment wrapText="1"/>
    </x:xf>
    <x:xf numFmtId="202" fontId="8" fillId="3" borderId="0" xfId="0" applyNumberFormat="1" applyFont="1" applyFill="1" applyBorder="1" applyAlignment="1">
      <x:alignment wrapText="1"/>
    </x:xf>
    <x:xf numFmtId="203" fontId="8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200" fontId="9" fillId="2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0" fontId="9" fillId="5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200" fontId="9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0" fontId="9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200" fontId="9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9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21c001e7443ed" /><Relationship Type="http://schemas.openxmlformats.org/officeDocument/2006/relationships/theme" Target="/xl/theme/theme1.xml" Id="Rcf105a49f0c148ab" /><Relationship Type="http://schemas.openxmlformats.org/officeDocument/2006/relationships/sharedStrings" Target="/xl/sharedStrings.xml" Id="Rbf2d94979d814d3e" /><Relationship Type="http://schemas.openxmlformats.org/officeDocument/2006/relationships/worksheet" Target="/xl/worksheets/sheet1.xml" Id="R28d488541aab4211" /><Relationship Type="http://schemas.openxmlformats.org/officeDocument/2006/relationships/worksheet" Target="/xl/worksheets/sheet2.xml" Id="Rdc80f57dfe6d4fb9" /><Relationship Type="http://schemas.openxmlformats.org/officeDocument/2006/relationships/worksheet" Target="/xl/worksheets/sheet3.xml" Id="Ra0ae70bebb2547e3" /><Relationship Type="http://schemas.openxmlformats.org/officeDocument/2006/relationships/worksheet" Target="/xl/worksheets/sheet4.xml" Id="Rc0d14d51d8fb4b86" /><Relationship Type="http://schemas.openxmlformats.org/officeDocument/2006/relationships/worksheet" Target="/xl/worksheets/sheet5.xml" Id="Rc94e01cd918140f4" /><Relationship Type="http://schemas.openxmlformats.org/officeDocument/2006/relationships/worksheet" Target="/xl/worksheets/sheet6.xml" Id="R67e5e137aa854d17" /><Relationship Type="http://schemas.openxmlformats.org/officeDocument/2006/relationships/worksheet" Target="/xl/worksheets/sheet7.xml" Id="R97db81169ded4b61" /><Relationship Type="http://schemas.openxmlformats.org/officeDocument/2006/relationships/worksheet" Target="/xl/worksheets/sheet8.xml" Id="Rf5b536b059d64b7c" /><Relationship Type="http://schemas.openxmlformats.org/officeDocument/2006/relationships/worksheet" Target="/xl/worksheets/sheet9.xml" Id="Rb2f94cc984904d43" /><Relationship Type="http://schemas.openxmlformats.org/officeDocument/2006/relationships/worksheet" Target="/xl/worksheets/sheet10.xml" Id="R3501f0074b58459a" /><Relationship Type="http://schemas.openxmlformats.org/officeDocument/2006/relationships/worksheet" Target="/xl/worksheets/sheet11.xml" Id="R6ec5eeea8afd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64.33000183105469" style="4" customWidth="1"/>
    <x:col min="4" max="4" width="49.66999816894531" style="4" customWidth="1"/>
    <x:col min="5" max="5" width="35.439998626708984" style="4" customWidth="1"/>
    <x:col min="6" max="6" width="62.33000183105469" style="4" customWidth="1"/>
  </x:cols>
  <x:sheetData>
    <x:row r="1">
      <x:c r="H1" t="inlineStr">
        <x:is>
          <x:t xml:space="preserve">Token2049 positioning note: model treats GlemO as an asset-class-neutral liquidity and distribution rail; real estate credit is the first proof market, not the final category.</x:t>
        </x:is>
      </x:c>
    </x:row>
    <x:row r="2" s="4" customFormat="1" ht="19.200000762939453" customHeight="1">
      <x:c r="C2" s="2" t="inlineStr">
        <x:is>
          <x:t xml:space="preserve">GlemO Pre-Seed Operating Model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US$2M de-risking plan for the neutral liquidity and distribution rail. Currency in USD unless noted.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 s="4" customFormat="1" ht="15" customHeight="1">
      <x:c r="C6" s="6" t="inlineStr">
        <x:is>
          <x:t xml:space="preserve">Decision view</x:t>
        </x:is>
      </x:c>
      <x:c r="D6" s="7" t="str"/>
      <x:c r="E6" s="7" t="str"/>
      <x:c r="F6" s="7" t="str"/>
      <x:c r="G6" s="7" t="str"/>
      <x:c r="H6" s="7" t="str"/>
      <x:c r="I6" s="7" t="str"/>
      <x:c r="J6" s="7" t="str"/>
      <x:c r="K6" s="8" t="str"/>
    </x:row>
    <x:row r="7" s="4" customFormat="1" ht="15" customHeight="1">
      <x:c r="C7" s="13" t="inlineStr">
        <x:is>
          <x:t xml:space="preserve">Metric</x:t>
        </x:is>
      </x:c>
      <x:c r="D7" s="13" t="inlineStr">
        <x:is>
          <x:t xml:space="preserve">Base case</x:t>
        </x:is>
      </x:c>
      <x:c r="E7" s="13" t="inlineStr">
        <x:is>
          <x:t xml:space="preserve">Full-tech case</x:t>
        </x:is>
      </x:c>
      <x:c r="F7" s="13" t="inlineStr">
        <x:is>
          <x:t xml:space="preserve">Investor read</x:t>
        </x:is>
      </x:c>
    </x:row>
    <x:row r="8" s="4" customFormat="1" ht="15" customHeight="1">
      <x:c r="C8" s="17" t="inlineStr">
        <x:is>
          <x:t xml:space="preserve">Total raise</x:t>
        </x:is>
      </x:c>
      <x:c r="D8" s="49" t="n">
        <x:v>2000000</x:v>
      </x:c>
      <x:c r="E8" s="49" t="n">
        <x:v>2000000</x:v>
      </x:c>
      <x:c r="F8" s="19" t="inlineStr">
        <x:is>
          <x:t xml:space="preserve">Both cases reconcile to the US$2M round.</x:t>
        </x:is>
      </x:c>
    </x:row>
    <x:row r="9" s="4" customFormat="1" ht="15" customHeight="1">
      <x:c r="C9" s="20" t="inlineStr">
        <x:is>
          <x:t xml:space="preserve">Technology envelope</x:t>
        </x:is>
      </x:c>
      <x:c r="D9" s="50" t="n">
        <x:v>650000</x:v>
      </x:c>
      <x:c r="E9" s="50" t="n">
        <x:v>750000</x:v>
      </x:c>
      <x:c r="F9" s="22" t="inlineStr">
        <x:is>
          <x:t xml:space="preserve">Use base case externally unless acceleration is clearly funded by staged token/liquidity spend.</x:t>
        </x:is>
      </x:c>
    </x:row>
    <x:row r="10" s="4" customFormat="1" ht="15" customHeight="1">
      <x:c r="C10" s="20" t="inlineStr">
        <x:is>
          <x:t xml:space="preserve">Founder draw</x:t>
        </x:is>
      </x:c>
      <x:c r="D10" s="50" t="n">
        <x:v>168000</x:v>
      </x:c>
      <x:c r="E10" s="50" t="n">
        <x:v>168000</x:v>
      </x:c>
      <x:c r="F10" s="22" t="inlineStr">
        <x:is>
          <x:t xml:space="preserve">US$7k/month for 24 months.</x:t>
        </x:is>
      </x:c>
    </x:row>
    <x:row r="11" s="4" customFormat="1" ht="15" customHeight="1">
      <x:c r="C11" s="20" t="inlineStr">
        <x:is>
          <x:t xml:space="preserve">Admin / project operations</x:t>
        </x:is>
      </x:c>
      <x:c r="D11" s="50" t="n">
        <x:v>240000</x:v>
      </x:c>
      <x:c r="E11" s="50" t="n">
        <x:v>240000</x:v>
      </x:c>
      <x:c r="F11" s="22" t="inlineStr">
        <x:is>
          <x:t xml:space="preserve">US$10k/month for 24 months.</x:t>
        </x:is>
      </x:c>
    </x:row>
    <x:row r="12" s="4" customFormat="1" ht="15" customHeight="1">
      <x:c r="C12" s="20" t="inlineStr">
        <x:is>
          <x:t xml:space="preserve">Infrastructure / tools</x:t>
        </x:is>
      </x:c>
      <x:c r="D12" s="50" t="n">
        <x:v>120000</x:v>
      </x:c>
      <x:c r="E12" s="50" t="n">
        <x:v>120000</x:v>
      </x:c>
      <x:c r="F12" s="22" t="inlineStr">
        <x:is>
          <x:t xml:space="preserve">Explicit cap prevents hidden underbudgeting.</x:t>
        </x:is>
      </x:c>
    </x:row>
    <x:row r="13" s="4" customFormat="1" ht="15" customHeight="1">
      <x:c r="C13" s="20" t="inlineStr">
        <x:is>
          <x:t xml:space="preserve">Reserve</x:t>
        </x:is>
      </x:c>
      <x:c r="D13" s="50" t="n">
        <x:v>147000</x:v>
      </x:c>
      <x:c r="E13" s="50" t="n">
        <x:v>122000</x:v>
      </x:c>
      <x:c r="F13" s="22" t="inlineStr">
        <x:is>
          <x:t xml:space="preserve">Base case has stronger contingency.</x:t>
        </x:is>
      </x:c>
    </x:row>
    <x:row r="14" s="4" customFormat="1" ht="15" customHeight="1">
      <x:c r="C14" s="23" t="inlineStr">
        <x:is>
          <x:t xml:space="preserve">Recommended case</x:t>
        </x:is>
      </x:c>
      <x:c r="D14" s="24" t="inlineStr">
        <x:is>
          <x:t xml:space="preserve">Base case</x:t>
        </x:is>
      </x:c>
      <x:c r="E14" s="24" t="inlineStr">
        <x:is>
          <x:t xml:space="preserve">Internal alternative</x:t>
        </x:is>
      </x:c>
      <x:c r="F14" s="25" t="inlineStr">
        <x:is>
          <x:t xml:space="preserve">Base case is cleaner for VC diligence.</x:t>
        </x:is>
      </x:c>
    </x:row>
    <x:row r="15"/>
    <x:row r="16"/>
    <x:row r="17" s="4" customFormat="1" ht="15" customHeight="1">
      <x:c r="C17" s="6" t="inlineStr">
        <x:is>
          <x:t xml:space="preserve">Investment guardrails</x:t>
        </x:is>
      </x:c>
      <x:c r="D17" s="7" t="str"/>
      <x:c r="E17" s="7" t="str"/>
      <x:c r="F17" s="7" t="str"/>
      <x:c r="G17" s="7" t="str"/>
      <x:c r="H17" s="7" t="str"/>
      <x:c r="I17" s="7" t="str"/>
      <x:c r="J17" s="7" t="str"/>
      <x:c r="K17" s="8" t="str"/>
    </x:row>
    <x:row r="18" s="4" customFormat="1" ht="15" customHeight="1">
      <x:c r="C18" s="13" t="inlineStr">
        <x:is>
          <x:t xml:space="preserve">Guardrail</x:t>
        </x:is>
      </x:c>
      <x:c r="D18" s="13" t="inlineStr">
        <x:is>
          <x:t xml:space="preserve">Policy</x:t>
        </x:is>
      </x:c>
      <x:c r="E18" s="13" t="inlineStr">
        <x:is>
          <x:t xml:space="preserve">Why it matters</x:t>
        </x:is>
      </x:c>
      <x:c r="F18" s="13" t="inlineStr">
        <x:is>
          <x:t xml:space="preserve">Status</x:t>
        </x:is>
      </x:c>
    </x:row>
    <x:row r="19" s="4" customFormat="1" ht="15" customHeight="1">
      <x:c r="C19" s="17" t="inlineStr">
        <x:is>
          <x:t xml:space="preserve">Core thesis</x:t>
        </x:is>
      </x:c>
      <x:c r="D19" s="18" t="inlineStr">
        <x:is>
          <x:t xml:space="preserve">Neutral liquidity and distribution rail with public marketplace front.</x:t>
        </x:is>
      </x:c>
      <x:c r="E19" s="18" t="inlineStr">
        <x:is>
          <x:t xml:space="preserve">Avoids bank-dependency and passive-listing framing.</x:t>
        </x:is>
      </x:c>
      <x:c r="F19" s="19" t="inlineStr">
        <x:is>
          <x:t xml:space="preserve">Investor-facing</x:t>
        </x:is>
      </x:c>
    </x:row>
    <x:row r="20" s="4" customFormat="1" ht="15" customHeight="1">
      <x:c r="C20" s="20" t="inlineStr">
        <x:is>
          <x:t xml:space="preserve">Marketplace</x:t>
        </x:is>
      </x:c>
      <x:c r="D20" s="21" t="inlineStr">
        <x:is>
          <x:t xml:space="preserve">Discovery and workflow front, not the core business alone.</x:t>
        </x:is>
      </x:c>
      <x:c r="E20" s="21" t="inlineStr">
        <x:is>
          <x:t xml:space="preserve">Prevents marketplace traffic assumptions.</x:t>
        </x:is>
      </x:c>
      <x:c r="F20" s="22" t="inlineStr">
        <x:is>
          <x:t xml:space="preserve">Investor-facing</x:t>
        </x:is>
      </x:c>
    </x:row>
    <x:row r="21" s="4" customFormat="1" ht="15" customHeight="1">
      <x:c r="C21" s="20" t="inlineStr">
        <x:is>
          <x:t xml:space="preserve">Buyer activation</x:t>
        </x:is>
      </x:c>
      <x:c r="D21" s="21" t="inlineStr">
        <x:is>
          <x:t xml:space="preserve">Active outreach, routing and response measurement.</x:t>
        </x:is>
      </x:c>
      <x:c r="E21" s="21" t="inlineStr">
        <x:is>
          <x:t xml:space="preserve">Turns distribution into an operating process.</x:t>
        </x:is>
      </x:c>
      <x:c r="F21" s="22" t="inlineStr">
        <x:is>
          <x:t xml:space="preserve">Needs source evidence</x:t>
        </x:is>
      </x:c>
    </x:row>
    <x:row r="22" s="4" customFormat="1" ht="15" customHeight="1">
      <x:c r="C22" s="20" t="inlineStr">
        <x:is>
          <x:t xml:space="preserve">Liquidity</x:t>
        </x:is>
      </x:c>
      <x:c r="D22" s="21" t="inlineStr">
        <x:is>
          <x:t xml:space="preserve">Readiness and reporting only. No guaranteed market depth.</x:t>
        </x:is>
      </x:c>
      <x:c r="E22" s="21" t="inlineStr">
        <x:is>
          <x:t xml:space="preserve">Reduces regulatory and credibility risk.</x:t>
        </x:is>
      </x:c>
      <x:c r="F22" s="22" t="inlineStr">
        <x:is>
          <x:t xml:space="preserve">Investor-facing</x:t>
        </x:is>
      </x:c>
    </x:row>
    <x:row r="23" s="4" customFormat="1" ht="15" customHeight="1">
      <x:c r="C23" s="20" t="inlineStr">
        <x:is>
          <x:t xml:space="preserve">Token</x:t>
        </x:is>
      </x:c>
      <x:c r="D23" s="21" t="inlineStr">
        <x:is>
          <x:t xml:space="preserve">Incentives for dApps, AI agents, developer tooling and verified contribution.</x:t>
        </x:is>
      </x:c>
      <x:c r="E23" s="21" t="inlineStr">
        <x:is>
          <x:t xml:space="preserve">Keeps token subordinate.</x:t>
        </x:is>
      </x:c>
      <x:c r="F23" s="22" t="inlineStr">
        <x:is>
          <x:t xml:space="preserve">Investor-facing</x:t>
        </x:is>
      </x:c>
    </x:row>
    <x:row r="24" s="4" customFormat="1" ht="15" customHeight="1">
      <x:c r="C24" s="23" t="inlineStr">
        <x:is>
          <x:t xml:space="preserve">Token changes</x:t>
        </x:is>
      </x:c>
      <x:c r="D24" s="24" t="inlineStr">
        <x:is>
          <x:t xml:space="preserve">Require unanimous approval under definitive documents.</x:t>
        </x:is>
      </x:c>
      <x:c r="E24" s="24" t="inlineStr">
        <x:is>
          <x:t xml:space="preserve">Protects VCs and partners from objective drift.</x:t>
        </x:is>
      </x:c>
      <x:c r="F24" s="25" t="inlineStr">
        <x:is>
          <x:t xml:space="preserve">Needs legal drafting</x:t>
        </x:is>
      </x:c>
    </x:row>
    <x:row r="26">
      <x:c r="C26" s="78" t="str">
        <x:v>Conservative revenue case</x:v>
      </x:c>
      <x:c r="D26" s="78"/>
      <x:c r="E26" s="78"/>
      <x:c r="F26" s="78"/>
    </x:row>
    <x:row r="27">
      <x:c r="C27" s="89" t="str">
        <x:v>Metric</x:v>
      </x:c>
      <x:c r="D27" s="90" t="str">
        <x:v>Year 1</x:v>
      </x:c>
      <x:c r="E27" s="90" t="str">
        <x:v>Year 2</x:v>
      </x:c>
      <x:c r="F27" s="91" t="str">
        <x:v>Year 3</x:v>
      </x:c>
    </x:row>
    <x:row r="28">
      <x:c r="C28" t="str">
        <x:v>Revenue</x:v>
      </x:c>
      <x:c r="D28" s="95" t="n">
        <x:f>'Revenue Model'!D31</x:f>
        <x:v>225900</x:v>
      </x:c>
      <x:c r="E28" s="95" t="n">
        <x:f>'Revenue Model'!E31</x:f>
        <x:v>602700</x:v>
      </x:c>
      <x:c r="F28" s="95" t="n">
        <x:f>'Revenue Model'!F31</x:f>
        <x:v>1585200</x:v>
      </x:c>
    </x:row>
    <x:row r="29">
      <x:c r="C29" t="str">
        <x:v>Gross profit</x:v>
      </x:c>
      <x:c r="D29" s="95" t="n">
        <x:f>'Revenue Model'!D33</x:f>
        <x:v>124245.00000000001</x:v>
      </x:c>
      <x:c r="E29" s="95" t="n">
        <x:f>'Revenue Model'!E33</x:f>
        <x:v>361620</x:v>
      </x:c>
      <x:c r="F29" s="95" t="n">
        <x:f>'Revenue Model'!F33</x:f>
        <x:v>1030380</x:v>
      </x:c>
    </x:row>
    <x:row r="30">
      <x:c r="C30" s="79" t="str">
        <x:v>Ending cash after operating revenue</x:v>
      </x:c>
      <x:c r="D30" s="97" t="n">
        <x:f>'Financial Projection'!D16</x:f>
        <x:v>1165251</x:v>
      </x:c>
      <x:c r="E30" s="97" t="n">
        <x:f>'Financial Projection'!E16</x:f>
        <x:v>632865</x:v>
      </x:c>
      <x:c r="F30" s="97" t="n">
        <x:f>'Financial Projection'!F16</x:f>
        <x:v>463245</x:v>
      </x:c>
    </x:row>
    <x:row r="31">
      <x:c r="C31" t="str">
        <x:v>Institutional partners</x:v>
      </x:c>
      <x:c r="D31" s="107" t="n">
        <x:f>'Revenue Model'!D8</x:f>
        <x:v>2</x:v>
      </x:c>
      <x:c r="E31" s="107" t="n">
        <x:f>'Revenue Model'!E8</x:f>
        <x:v>4</x:v>
      </x:c>
      <x:c r="F31" s="107" t="n">
        <x:f>'Revenue Model'!F8</x:f>
        <x:v>8</x:v>
      </x:c>
    </x:row>
    <x:row r="32">
      <x:c r="C32" t="str">
        <x:v>Completed routed volume</x:v>
      </x:c>
      <x:c r="D32" s="95" t="n">
        <x:f>'Revenue Model'!D27</x:f>
        <x:v>3000000</x:v>
      </x:c>
      <x:c r="E32" s="95" t="n">
        <x:f>'Revenue Model'!E27</x:f>
        <x:v>15000000</x:v>
      </x:c>
      <x:c r="F32" s="95" t="n">
        <x:f>'Revenue Model'!F27</x:f>
        <x:v>60000000</x:v>
      </x:c>
    </x:row>
    <x:row r="33">
      <x:c r="C33" t="str">
        <x:v>Minimum investor ticket</x:v>
      </x:c>
      <x:c r="D33" s="95" t="n">
        <x:f>'Assumptions'!D20</x:f>
        <x:v>250000</x:v>
      </x:c>
      <x:c r="E33" s="95" t="n">
        <x:f>'Assumptions'!D20</x:f>
        <x:v>250000</x:v>
      </x:c>
      <x:c r="F33" s="95" t="n">
        <x:f>'Assumptions'!D20</x:f>
        <x:v>250000</x:v>
      </x:c>
    </x:row>
    <x:row r="35">
      <x:c r="C35" s="105" t="str">
        <x:v>The Year 1 case is deliberately modest: two institutional partners, six completed routed transactions, five average Enterprise SaaS clients and twenty paid module tests. Token value is excluded from revenue and valuation support.</x:v>
      </x:c>
      <x:c r="D35" s="105"/>
      <x:c r="E35" s="105"/>
      <x:c r="F35" s="105"/>
    </x:row>
    <x:row r="36">
      <x:c r="C36" s="105"/>
      <x:c r="D36" s="105"/>
      <x:c r="E36" s="105"/>
      <x:c r="F36" s="105"/>
    </x:row>
  </x:sheetData>
  <x:mergeCells>
    <x:mergeCell ref="C26:F26"/>
    <x:mergeCell ref="C35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50.779998779296875" style="4" customWidth="1"/>
    <x:col min="4" max="4" width="9.5600004196167" style="4" customWidth="1"/>
    <x:col min="5" max="5" width="10.329999923706055" style="4" customWidth="1"/>
    <x:col min="6" max="6" width="8.109999656677246" style="4" customWidth="1"/>
    <x:col min="7" max="7" width="42" style="4" customWidth="1"/>
  </x:cols>
  <x:sheetData>
    <x:row r="1"/>
    <x:row r="2" s="4" customFormat="1" ht="19.200000762939453" customHeight="1">
      <x:c r="C2" s="2" t="inlineStr">
        <x:is>
          <x:t xml:space="preserve">Assumptions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Editable assumptions and scenario inputs. Blue text / yellow fill marks inputs.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 s="4" customFormat="1" ht="15" customHeight="1">
      <x:c r="C6" s="6" t="inlineStr">
        <x:is>
          <x:t xml:space="preserve">Round inputs</x:t>
        </x:is>
      </x:c>
      <x:c r="D6" s="7" t="str"/>
      <x:c r="E6" s="7" t="str"/>
      <x:c r="F6" s="7" t="str"/>
      <x:c r="G6" s="8" t="str"/>
    </x:row>
    <x:row r="7" s="4" customFormat="1" ht="15" customHeight="1">
      <x:c r="C7" s="13" t="inlineStr">
        <x:is>
          <x:t xml:space="preserve">Input</x:t>
        </x:is>
      </x:c>
      <x:c r="D7" s="13" t="inlineStr">
        <x:is>
          <x:t xml:space="preserve">Base case</x:t>
        </x:is>
      </x:c>
      <x:c r="E7" s="13" t="inlineStr">
        <x:is>
          <x:t xml:space="preserve">Full-tech case</x:t>
        </x:is>
      </x:c>
      <x:c r="F7" s="13" t="inlineStr">
        <x:is>
          <x:t xml:space="preserve">Units</x:t>
        </x:is>
      </x:c>
      <x:c r="G7" s="13" t="inlineStr">
        <x:is>
          <x:t xml:space="preserve">Notes</x:t>
        </x:is>
      </x:c>
    </x:row>
    <x:row r="8" s="4" customFormat="1" ht="15" customHeight="1">
      <x:c r="C8" s="17" t="inlineStr">
        <x:is>
          <x:t xml:space="preserve">Total raise</x:t>
        </x:is>
      </x:c>
      <x:c r="D8" s="51" t="n">
        <x:v>2000000</x:v>
      </x:c>
      <x:c r="E8" s="51" t="n">
        <x:v>2000000</x:v>
      </x:c>
      <x:c r="F8" s="18" t="inlineStr">
        <x:is>
          <x:t xml:space="preserve">USD</x:t>
        </x:is>
      </x:c>
      <x:c r="G8" s="19" t="inlineStr">
        <x:is>
          <x:t xml:space="preserve">Pre-seed round size.</x:t>
        </x:is>
      </x:c>
    </x:row>
    <x:row r="9" s="4" customFormat="1" ht="15" customHeight="1">
      <x:c r="C9" s="20" t="inlineStr">
        <x:is>
          <x:t xml:space="preserve">Founder monthly draw</x:t>
        </x:is>
      </x:c>
      <x:c r="D9" s="52" t="n">
        <x:v>7000</x:v>
      </x:c>
      <x:c r="E9" s="52" t="n">
        <x:v>7000</x:v>
      </x:c>
      <x:c r="F9" s="21" t="inlineStr">
        <x:is>
          <x:t xml:space="preserve">USD/month</x:t>
        </x:is>
      </x:c>
      <x:c r="G9" s="22" t="inlineStr">
        <x:is>
          <x:t xml:space="preserve">24 months.</x:t>
        </x:is>
      </x:c>
    </x:row>
    <x:row r="10" s="4" customFormat="1" ht="15" customHeight="1">
      <x:c r="C10" s="20" t="inlineStr">
        <x:is>
          <x:t xml:space="preserve">Admin monthly</x:t>
        </x:is>
      </x:c>
      <x:c r="D10" s="52" t="n">
        <x:v>10000</x:v>
      </x:c>
      <x:c r="E10" s="52" t="n">
        <x:v>10000</x:v>
      </x:c>
      <x:c r="F10" s="21" t="inlineStr">
        <x:is>
          <x:t xml:space="preserve">USD/month</x:t>
        </x:is>
      </x:c>
      <x:c r="G10" s="22" t="inlineStr">
        <x:is>
          <x:t xml:space="preserve">Project administration and operating backbone.</x:t>
        </x:is>
      </x:c>
    </x:row>
    <x:row r="11" s="4" customFormat="1" ht="15" customHeight="1">
      <x:c r="C11" s="20" t="inlineStr">
        <x:is>
          <x:t xml:space="preserve">Technology</x:t>
        </x:is>
      </x:c>
      <x:c r="D11" s="52" t="n">
        <x:v>650000</x:v>
      </x:c>
      <x:c r="E11" s="52" t="n">
        <x:v>750000</x:v>
      </x:c>
      <x:c r="F11" s="21" t="inlineStr">
        <x:is>
          <x:t xml:space="preserve">USD</x:t>
        </x:is>
      </x:c>
      <x:c r="G11" s="22" t="inlineStr">
        <x:is>
          <x:t xml:space="preserve">Base case versus full-tech ceiling.</x:t>
        </x:is>
      </x:c>
    </x:row>
    <x:row r="12" s="4" customFormat="1" ht="15" customHeight="1">
      <x:c r="C12" s="20" t="inlineStr">
        <x:is>
          <x:t xml:space="preserve">Legal / compliance</x:t>
        </x:is>
      </x:c>
      <x:c r="D12" s="52" t="n">
        <x:v>150000</x:v>
      </x:c>
      <x:c r="E12" s="52" t="n">
        <x:v>150000</x:v>
      </x:c>
      <x:c r="F12" s="21" t="inlineStr">
        <x:is>
          <x:t xml:space="preserve">USD</x:t>
        </x:is>
      </x:c>
      <x:c r="G12" s="22" t="inlineStr">
        <x:is>
          <x:t xml:space="preserve">Counsel, disclosure, marketplace-front and token warrant work.</x:t>
        </x:is>
      </x:c>
    </x:row>
    <x:row r="13" s="4" customFormat="1" ht="15" customHeight="1">
      <x:c r="C13" s="20" t="inlineStr">
        <x:is>
          <x:t xml:space="preserve">Token engineering / governance</x:t>
        </x:is>
      </x:c>
      <x:c r="D13" s="52" t="n">
        <x:v>125000</x:v>
      </x:c>
      <x:c r="E13" s="52" t="n">
        <x:v>100000</x:v>
      </x:c>
      <x:c r="F13" s="21" t="inlineStr">
        <x:is>
          <x:t xml:space="preserve">USD</x:t>
        </x:is>
      </x:c>
      <x:c r="G13" s="22" t="inlineStr">
        <x:is>
          <x:t xml:space="preserve">Staged, subordinate to platform.</x:t>
        </x:is>
      </x:c>
    </x:row>
    <x:row r="14" s="4" customFormat="1" ht="15" customHeight="1">
      <x:c r="C14" s="20" t="inlineStr">
        <x:is>
          <x:t xml:space="preserve">Market liquidity / MM readiness</x:t>
        </x:is>
      </x:c>
      <x:c r="D14" s="52" t="n">
        <x:v>250000</x:v>
      </x:c>
      <x:c r="E14" s="52" t="n">
        <x:v>200000</x:v>
      </x:c>
      <x:c r="F14" s="21" t="inlineStr">
        <x:is>
          <x:t xml:space="preserve">USD</x:t>
        </x:is>
      </x:c>
      <x:c r="G14" s="22" t="inlineStr">
        <x:is>
          <x:t xml:space="preserve">Readiness only, no guaranteed depth.</x:t>
        </x:is>
      </x:c>
    </x:row>
    <x:row r="15" s="4" customFormat="1" ht="15" customHeight="1">
      <x:c r="C15" s="20" t="inlineStr">
        <x:is>
          <x:t xml:space="preserve">Infrastructure / tools</x:t>
        </x:is>
      </x:c>
      <x:c r="D15" s="52" t="n">
        <x:v>120000</x:v>
      </x:c>
      <x:c r="E15" s="52" t="n">
        <x:v>120000</x:v>
      </x:c>
      <x:c r="F15" s="21" t="inlineStr">
        <x:is>
          <x:t xml:space="preserve">USD</x:t>
        </x:is>
      </x:c>
      <x:c r="G15" s="22" t="inlineStr">
        <x:is>
          <x:t xml:space="preserve">Cloud, data, KYC/KYB, RPC, CRM, security and observability.</x:t>
        </x:is>
      </x:c>
    </x:row>
    <x:row r="16" s="4" customFormat="1" ht="15" customHeight="1">
      <x:c r="C16" s="20" t="inlineStr">
        <x:is>
          <x:t xml:space="preserve">Market-development hub</x:t>
        </x:is>
      </x:c>
      <x:c r="D16" s="52" t="n">
        <x:v>100000</x:v>
      </x:c>
      <x:c r="E16" s="52" t="n">
        <x:v>100000</x:v>
      </x:c>
      <x:c r="F16" s="21" t="inlineStr">
        <x:is>
          <x:t xml:space="preserve">USD</x:t>
        </x:is>
      </x:c>
      <x:c r="G16" s="22" t="inlineStr">
        <x:is>
          <x:t xml:space="preserve">Participant development, not vague partnerships.</x:t>
        </x:is>
      </x:c>
    </x:row>
    <x:row r="17" s="4" customFormat="1" ht="15" customHeight="1">
      <x:c r="C17" s="20" t="inlineStr">
        <x:is>
          <x:t xml:space="preserve">Strategic events</x:t>
        </x:is>
      </x:c>
      <x:c r="D17" s="52" t="n">
        <x:v>50000</x:v>
      </x:c>
      <x:c r="E17" s="52" t="n">
        <x:v>50000</x:v>
      </x:c>
      <x:c r="F17" s="21" t="inlineStr">
        <x:is>
          <x:t xml:space="preserve">USD</x:t>
        </x:is>
      </x:c>
      <x:c r="G17" s="22" t="inlineStr">
        <x:is>
          <x:t xml:space="preserve">Curated investor/RWA/real-estate access.</x:t>
        </x:is>
      </x:c>
    </x:row>
    <x:row r="18" s="4" customFormat="1" ht="15" customHeight="1">
      <x:c r="C18" s="20" t="inlineStr">
        <x:is>
          <x:t xml:space="preserve">Reserve</x:t>
        </x:is>
      </x:c>
      <x:c r="D18" s="52" t="n">
        <x:v>147000</x:v>
      </x:c>
      <x:c r="E18" s="52" t="n">
        <x:v>122000</x:v>
      </x:c>
      <x:c r="F18" s="21" t="inlineStr">
        <x:is>
          <x:t xml:space="preserve">USD</x:t>
        </x:is>
      </x:c>
      <x:c r="G18" s="22" t="inlineStr">
        <x:is>
          <x:t xml:space="preserve">Contingency after allocation.</x:t>
        </x:is>
      </x:c>
    </x:row>
    <x:row r="19" s="4" customFormat="1" ht="15" customHeight="1">
      <x:c r="C19" s="23" t="inlineStr">
        <x:is>
          <x:t xml:space="preserve">Model period</x:t>
        </x:is>
      </x:c>
      <x:c r="D19" s="53" t="n">
        <x:v>24</x:v>
      </x:c>
      <x:c r="E19" s="53" t="n">
        <x:v>24</x:v>
      </x:c>
      <x:c r="F19" s="24" t="inlineStr">
        <x:is>
          <x:t xml:space="preserve">months</x:t>
        </x:is>
      </x:c>
      <x:c r="G19" s="25" t="inlineStr">
        <x:is>
          <x:t xml:space="preserve">September 2026 to August 2028.</x:t>
        </x:is>
      </x:c>
    </x:row>
    <x:row r="20">
      <x:c r="C20" s="71" t="str">
        <x:v>Minimum investor ticket</x:v>
      </x:c>
      <x:c r="D20" s="70" t="n">
        <x:v>250000</x:v>
      </x:c>
      <x:c r="E20" s="70" t="n">
        <x:v>250000</x:v>
      </x:c>
      <x:c r="F20" t="str">
        <x:v>USD</x:v>
      </x:c>
      <x:c r="G20" t="str">
        <x:v>Minimum amount accepted from a single investor.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43.33000183105469" style="4" customWidth="1"/>
    <x:col min="4" max="4" width="9.5600004196167" style="4" customWidth="1"/>
    <x:col min="5" max="5" width="6.329999923706055" style="4" customWidth="1"/>
    <x:col min="6" max="6" width="10.329999923706055" style="4" customWidth="1"/>
    <x:col min="7" max="7" width="6.329999923706055" style="4" customWidth="1"/>
    <x:col min="8" max="8" width="53.11000061035156" style="4" customWidth="1"/>
  </x:cols>
  <x:sheetData>
    <x:row r="1"/>
    <x:row r="2" s="4" customFormat="1" ht="19.200000762939453" customHeight="1">
      <x:c r="C2" s="2" t="inlineStr">
        <x:is>
          <x:t xml:space="preserve">Use of Funds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Investor-facing allocation. Amounts reconcile to the US$2M raise.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Category</x:t>
        </x:is>
      </x:c>
      <x:c r="D7" s="13" t="inlineStr">
        <x:is>
          <x:t xml:space="preserve">Base case</x:t>
        </x:is>
      </x:c>
      <x:c r="E7" s="13" t="inlineStr">
        <x:is>
          <x:t xml:space="preserve">% raise</x:t>
        </x:is>
      </x:c>
      <x:c r="F7" s="13" t="inlineStr">
        <x:is>
          <x:t xml:space="preserve">Full-tech case</x:t>
        </x:is>
      </x:c>
      <x:c r="G7" s="13" t="inlineStr">
        <x:is>
          <x:t xml:space="preserve">% raise</x:t>
        </x:is>
      </x:c>
      <x:c r="H7" s="13" t="inlineStr">
        <x:is>
          <x:t xml:space="preserve">Investor read</x:t>
        </x:is>
      </x:c>
    </x:row>
    <x:row r="8" s="4" customFormat="1" ht="15" customHeight="1">
      <x:c r="C8" s="17" t="inlineStr">
        <x:is>
          <x:t xml:space="preserve">Technology / platform</x:t>
        </x:is>
      </x:c>
      <x:c r="D8" s="49" t="n">
        <x:v>650000</x:v>
      </x:c>
      <x:c r="E8" s="54" t="n">
        <x:f>D8/D$18</x:f>
        <x:v>0.325</x:v>
      </x:c>
      <x:c r="F8" s="49" t="n">
        <x:v>750000</x:v>
      </x:c>
      <x:c r="G8" s="54" t="n">
        <x:f>F8/F$18</x:f>
        <x:v>0.375</x:v>
      </x:c>
      <x:c r="H8" s="19" t="inlineStr">
        <x:is>
          <x:t xml:space="preserve">Build rail, marketplace front, onboarding, reporting, provider routing and security.</x:t>
        </x:is>
      </x:c>
    </x:row>
    <x:row r="9" s="4" customFormat="1" ht="15" customHeight="1">
      <x:c r="C9" s="20" t="inlineStr">
        <x:is>
          <x:t xml:space="preserve">Founder draw</x:t>
        </x:is>
      </x:c>
      <x:c r="D9" s="50" t="n">
        <x:v>168000</x:v>
      </x:c>
      <x:c r="E9" s="55" t="n">
        <x:f>D9/D$18</x:f>
        <x:v>0.084</x:v>
      </x:c>
      <x:c r="F9" s="50" t="n">
        <x:v>168000</x:v>
      </x:c>
      <x:c r="G9" s="55" t="n">
        <x:f>F9/F$18</x:f>
        <x:v>0.084</x:v>
      </x:c>
      <x:c r="H9" s="22" t="inlineStr">
        <x:is>
          <x:t xml:space="preserve">US$7k/month for 24 months.</x:t>
        </x:is>
      </x:c>
    </x:row>
    <x:row r="10" s="4" customFormat="1" ht="15" customHeight="1">
      <x:c r="C10" s="20" t="inlineStr">
        <x:is>
          <x:t xml:space="preserve">Admin / project operations</x:t>
        </x:is>
      </x:c>
      <x:c r="D10" s="50" t="n">
        <x:v>240000</x:v>
      </x:c>
      <x:c r="E10" s="55" t="n">
        <x:f>D10/D$18</x:f>
        <x:v>0.12</x:v>
      </x:c>
      <x:c r="F10" s="50" t="n">
        <x:v>240000</x:v>
      </x:c>
      <x:c r="G10" s="55" t="n">
        <x:f>F10/F$18</x:f>
        <x:v>0.12</x:v>
      </x:c>
      <x:c r="H10" s="22" t="inlineStr">
        <x:is>
          <x:t xml:space="preserve">US$10k/month for 24 months.</x:t>
        </x:is>
      </x:c>
    </x:row>
    <x:row r="11" s="4" customFormat="1" ht="15" customHeight="1">
      <x:c r="C11" s="20" t="inlineStr">
        <x:is>
          <x:t xml:space="preserve">Legal / compliance</x:t>
        </x:is>
      </x:c>
      <x:c r="D11" s="50" t="n">
        <x:v>150000</x:v>
      </x:c>
      <x:c r="E11" s="55" t="n">
        <x:f>D11/D$18</x:f>
        <x:v>0.075</x:v>
      </x:c>
      <x:c r="F11" s="50" t="n">
        <x:v>150000</x:v>
      </x:c>
      <x:c r="G11" s="55" t="n">
        <x:f>F11/F$18</x:f>
        <x:v>0.075</x:v>
      </x:c>
      <x:c r="H11" s="22" t="inlineStr">
        <x:is>
          <x:t xml:space="preserve">Counsel and documentation. Do not cut first.</x:t>
        </x:is>
      </x:c>
    </x:row>
    <x:row r="12" s="4" customFormat="1" ht="15" customHeight="1">
      <x:c r="C12" s="20" t="inlineStr">
        <x:is>
          <x:t xml:space="preserve">Token engineering / governance</x:t>
        </x:is>
      </x:c>
      <x:c r="D12" s="50" t="n">
        <x:v>125000</x:v>
      </x:c>
      <x:c r="E12" s="55" t="n">
        <x:f>D12/D$18</x:f>
        <x:v>0.0625</x:v>
      </x:c>
      <x:c r="F12" s="50" t="n">
        <x:v>100000</x:v>
      </x:c>
      <x:c r="G12" s="55" t="n">
        <x:f>F12/F$18</x:f>
        <x:v>0.05</x:v>
      </x:c>
      <x:c r="H12" s="22" t="inlineStr">
        <x:is>
          <x:t xml:space="preserve">Keep lean and subordinate to platform.</x:t>
        </x:is>
      </x:c>
    </x:row>
    <x:row r="13" s="4" customFormat="1" ht="15" customHeight="1">
      <x:c r="C13" s="20" t="inlineStr">
        <x:is>
          <x:t xml:space="preserve">Market liquidity / MM readiness</x:t>
        </x:is>
      </x:c>
      <x:c r="D13" s="50" t="n">
        <x:v>250000</x:v>
      </x:c>
      <x:c r="E13" s="55" t="n">
        <x:f>D13/D$18</x:f>
        <x:v>0.125</x:v>
      </x:c>
      <x:c r="F13" s="50" t="n">
        <x:v>200000</x:v>
      </x:c>
      <x:c r="G13" s="55" t="n">
        <x:f>F13/F$18</x:f>
        <x:v>0.1</x:v>
      </x:c>
      <x:c r="H13" s="22" t="inlineStr">
        <x:is>
          <x:t xml:space="preserve">Milestone-gated readiness only.</x:t>
        </x:is>
      </x:c>
    </x:row>
    <x:row r="14" s="4" customFormat="1" ht="15" customHeight="1">
      <x:c r="C14" s="20" t="inlineStr">
        <x:is>
          <x:t xml:space="preserve">Infrastructure / tools</x:t>
        </x:is>
      </x:c>
      <x:c r="D14" s="50" t="n">
        <x:v>120000</x:v>
      </x:c>
      <x:c r="E14" s="55" t="n">
        <x:f>D14/D$18</x:f>
        <x:v>0.06</x:v>
      </x:c>
      <x:c r="F14" s="50" t="n">
        <x:v>120000</x:v>
      </x:c>
      <x:c r="G14" s="55" t="n">
        <x:f>F14/F$18</x:f>
        <x:v>0.06</x:v>
      </x:c>
      <x:c r="H14" s="22" t="inlineStr">
        <x:is>
          <x:t xml:space="preserve">Explicit cloud, data, security, KYC/KYB, CRM and Web3 tooling.</x:t>
        </x:is>
      </x:c>
    </x:row>
    <x:row r="15" s="4" customFormat="1" ht="15" customHeight="1">
      <x:c r="C15" s="20" t="inlineStr">
        <x:is>
          <x:t xml:space="preserve">Market-development hub</x:t>
        </x:is>
      </x:c>
      <x:c r="D15" s="50" t="n">
        <x:v>100000</x:v>
      </x:c>
      <x:c r="E15" s="55" t="n">
        <x:f>D15/D$18</x:f>
        <x:v>0.05</x:v>
      </x:c>
      <x:c r="F15" s="50" t="n">
        <x:v>100000</x:v>
      </x:c>
      <x:c r="G15" s="55" t="n">
        <x:f>F15/F$18</x:f>
        <x:v>0.05</x:v>
      </x:c>
      <x:c r="H15" s="22" t="inlineStr">
        <x:is>
          <x:t xml:space="preserve">Qualified participant pipeline across supply, providers and buyers.</x:t>
        </x:is>
      </x:c>
    </x:row>
    <x:row r="16" s="4" customFormat="1" ht="15" customHeight="1">
      <x:c r="C16" s="20" t="inlineStr">
        <x:is>
          <x:t xml:space="preserve">Strategic events</x:t>
        </x:is>
      </x:c>
      <x:c r="D16" s="50" t="n">
        <x:v>50000</x:v>
      </x:c>
      <x:c r="E16" s="55" t="n">
        <x:f>D16/D$18</x:f>
        <x:v>0.025</x:v>
      </x:c>
      <x:c r="F16" s="50" t="n">
        <x:v>50000</x:v>
      </x:c>
      <x:c r="G16" s="55" t="n">
        <x:f>F16/F$18</x:f>
        <x:v>0.025</x:v>
      </x:c>
      <x:c r="H16" s="22" t="inlineStr">
        <x:is>
          <x:t xml:space="preserve">Token2049 and curated RWA / institutional ecosystem events.</x:t>
        </x:is>
      </x:c>
    </x:row>
    <x:row r="17" s="4" customFormat="1" ht="15" customHeight="1">
      <x:c r="C17" s="20" t="inlineStr">
        <x:is>
          <x:t xml:space="preserve">Reserve</x:t>
        </x:is>
      </x:c>
      <x:c r="D17" s="50" t="n">
        <x:v>147000</x:v>
      </x:c>
      <x:c r="E17" s="55" t="n">
        <x:f>D17/D$18</x:f>
        <x:v>0.0735</x:v>
      </x:c>
      <x:c r="F17" s="50" t="n">
        <x:v>122000</x:v>
      </x:c>
      <x:c r="G17" s="55" t="n">
        <x:f>F17/F$18</x:f>
        <x:v>0.061</x:v>
      </x:c>
      <x:c r="H17" s="22" t="inlineStr">
        <x:is>
          <x:t xml:space="preserve">Contingency and runway buffer.</x:t>
        </x:is>
      </x:c>
    </x:row>
    <x:row r="18" s="4" customFormat="1" ht="15" customHeight="1">
      <x:c r="C18" s="41" t="inlineStr">
        <x:is>
          <x:t xml:space="preserve">Total</x:t>
        </x:is>
      </x:c>
      <x:c r="D18" s="56" t="n">
        <x:f>SUM(D8:D17)</x:f>
        <x:v>2000000</x:v>
      </x:c>
      <x:c r="E18" s="57" t="n">
        <x:f>D18/2000000</x:f>
        <x:v>1</x:v>
      </x:c>
      <x:c r="F18" s="56" t="n">
        <x:f>SUM(F8:F17)</x:f>
        <x:v>2000000</x:v>
      </x:c>
      <x:c r="G18" s="57" t="n">
        <x:f>F18/2000000</x:f>
        <x:v>1</x:v>
      </x:c>
      <x:c r="H18" s="44" t="inlineStr">
        <x:is>
          <x:t xml:space="preserve">Must equal round size.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2" style="4" customWidth="1"/>
    <x:col min="2" max="2" width="23.110000610351562" style="4" customWidth="1"/>
    <x:col min="3" max="3" width="73.55999755859375" style="4" customWidth="1"/>
    <x:col min="4" max="4" width="32.33000183105469" style="4" customWidth="1"/>
    <x:col min="5" max="5" width="32.33000183105469" style="4" customWidth="1"/>
    <x:col min="6" max="6" width="32.33000183105469" style="4" customWidth="1"/>
    <x:col min="7" max="7" width="32.33000183105469" style="4" customWidth="1"/>
    <x:col min="8" max="8" width="32.33000183105469" style="4" customWidth="1"/>
    <x:col min="9" max="9" width="32.33000183105469" style="4" customWidth="1"/>
    <x:col min="10" max="10" width="32.33000183105469" style="4" customWidth="1"/>
    <x:col min="11" max="11" width="32.33000183105469" style="4" customWidth="1"/>
    <x:col min="12" max="12" width="25.559999465942383" style="4" customWidth="1"/>
    <x:col min="13" max="13" width="25.559999465942383" style="4" customWidth="1"/>
    <x:col min="14" max="14" width="25.559999465942383" style="4" customWidth="1"/>
    <x:col min="15" max="15" width="25.559999465942383" style="4" customWidth="1"/>
    <x:col min="16" max="16" width="25.559999465942383" style="4" customWidth="1"/>
    <x:col min="17" max="17" width="25.559999465942383" style="4" customWidth="1"/>
    <x:col min="18" max="18" width="25.559999465942383" style="4" customWidth="1"/>
    <x:col min="19" max="19" width="25.559999465942383" style="4" customWidth="1"/>
    <x:col min="20" max="20" width="25.559999465942383" style="4" customWidth="1"/>
    <x:col min="21" max="21" width="29.110000610351562" style="4" customWidth="1"/>
    <x:col min="22" max="22" width="29.110000610351562" style="4" customWidth="1"/>
    <x:col min="23" max="23" width="29.110000610351562" style="4" customWidth="1"/>
    <x:col min="24" max="24" width="29.110000610351562" style="4" customWidth="1"/>
    <x:col min="25" max="25" width="29.110000610351562" style="4" customWidth="1"/>
    <x:col min="26" max="26" width="29.110000610351562" style="4" customWidth="1"/>
  </x:cols>
  <x:sheetData>
    <x:row r="1"/>
    <x:row r="2" s="4" customFormat="1" ht="19.200000762939453" customHeight="1">
      <x:c r="C2" s="2" t="inlineStr">
        <x:is>
          <x:t xml:space="preserve">Monthly Burn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66" t="str">
        <x:v>Base-case deployment schedule reconciled to the approved use of funds. Month 24 ending cash equals the protected reserve before operating revenue.</x:v>
      </x:c>
      <x:c r="D3" s="66" t="n"/>
      <x:c r="E3" s="66" t="n"/>
      <x:c r="F3" s="66" t="n"/>
      <x:c r="G3" s="66" t="n"/>
      <x:c r="H3" s="66" t="n"/>
      <x:c r="I3" s="66" t="n"/>
      <x:c r="J3" s="66" t="n"/>
      <x:c r="K3" s="66" t="n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/>
    <x:row r="5"/>
    <x:row r="6"/>
    <x:row r="7" s="4" customFormat="1" ht="15" customHeight="1">
      <x:c r="C7" s="13" t="inlineStr">
        <x:is>
          <x:t xml:space="preserve">Sep:26</x:t>
        </x:is>
      </x:c>
      <x:c r="D7" s="13" t="inlineStr">
        <x:is>
          <x:t xml:space="preserve">Oct:26</x:t>
        </x:is>
      </x:c>
      <x:c r="E7" s="13" t="inlineStr">
        <x:is>
          <x:t xml:space="preserve">Nov:26</x:t>
        </x:is>
      </x:c>
      <x:c r="F7" s="13" t="inlineStr">
        <x:is>
          <x:t xml:space="preserve">Dec:26</x:t>
        </x:is>
      </x:c>
      <x:c r="G7" s="13" t="inlineStr">
        <x:is>
          <x:t xml:space="preserve">Jan:27</x:t>
        </x:is>
      </x:c>
      <x:c r="H7" s="13" t="inlineStr">
        <x:is>
          <x:t xml:space="preserve">Feb:27</x:t>
        </x:is>
      </x:c>
      <x:c r="I7" s="13" t="inlineStr">
        <x:is>
          <x:t xml:space="preserve">Mar:27</x:t>
        </x:is>
      </x:c>
      <x:c r="J7" s="13" t="inlineStr">
        <x:is>
          <x:t xml:space="preserve">Apr:27</x:t>
        </x:is>
      </x:c>
      <x:c r="K7" s="13" t="inlineStr">
        <x:is>
          <x:t xml:space="preserve">May:27</x:t>
        </x:is>
      </x:c>
      <x:c r="L7" s="13" t="inlineStr">
        <x:is>
          <x:t xml:space="preserve">Jun:27</x:t>
        </x:is>
      </x:c>
      <x:c r="M7" s="13" t="inlineStr">
        <x:is>
          <x:t xml:space="preserve">Jul:27</x:t>
        </x:is>
      </x:c>
      <x:c r="N7" s="13" t="inlineStr">
        <x:is>
          <x:t xml:space="preserve">Aug:27</x:t>
        </x:is>
      </x:c>
      <x:c r="O7" s="13" t="inlineStr">
        <x:is>
          <x:t xml:space="preserve">Sep:27</x:t>
        </x:is>
      </x:c>
      <x:c r="P7" s="13" t="inlineStr">
        <x:is>
          <x:t xml:space="preserve">Oct:27</x:t>
        </x:is>
      </x:c>
      <x:c r="Q7" s="13" t="inlineStr">
        <x:is>
          <x:t xml:space="preserve">Nov:27</x:t>
        </x:is>
      </x:c>
      <x:c r="R7" s="13" t="inlineStr">
        <x:is>
          <x:t xml:space="preserve">Dec:27</x:t>
        </x:is>
      </x:c>
      <x:c r="S7" s="13" t="inlineStr">
        <x:is>
          <x:t xml:space="preserve">Jan:28</x:t>
        </x:is>
      </x:c>
      <x:c r="T7" s="13" t="inlineStr">
        <x:is>
          <x:t xml:space="preserve">Feb:28</x:t>
        </x:is>
      </x:c>
      <x:c r="U7" s="13" t="inlineStr">
        <x:is>
          <x:t xml:space="preserve">Mar:28</x:t>
        </x:is>
      </x:c>
      <x:c r="V7" s="13" t="inlineStr">
        <x:is>
          <x:t xml:space="preserve">Apr:28</x:t>
        </x:is>
      </x:c>
      <x:c r="W7" s="13" t="inlineStr">
        <x:is>
          <x:t xml:space="preserve">May:28</x:t>
        </x:is>
      </x:c>
      <x:c r="X7" s="13" t="inlineStr">
        <x:is>
          <x:t xml:space="preserve">Jun:28</x:t>
        </x:is>
      </x:c>
      <x:c r="Y7" s="13" t="inlineStr">
        <x:is>
          <x:t xml:space="preserve">Jul:28</x:t>
        </x:is>
      </x:c>
      <x:c r="Z7" s="13" t="inlineStr">
        <x:is>
          <x:t xml:space="preserve">Aug:28</x:t>
        </x:is>
      </x:c>
    </x:row>
    <x:row r="8" s="4" customFormat="1" ht="15" customHeight="1">
      <x:c r="B8" s="9" t="inlineStr">
        <x:is>
          <x:t xml:space="preserve">Technology</x:t>
        </x:is>
      </x:c>
      <x:c r="C8" s="58" t="n">
        <x:v>17083</x:v>
      </x:c>
      <x:c r="D8" s="49" t="n">
        <x:v>21083</x:v>
      </x:c>
      <x:c r="E8" s="49" t="n">
        <x:v>21083</x:v>
      </x:c>
      <x:c r="F8" s="49" t="n">
        <x:v>26083</x:v>
      </x:c>
      <x:c r="G8" s="49" t="n">
        <x:v>26083</x:v>
      </x:c>
      <x:c r="H8" s="49" t="n">
        <x:v>26083</x:v>
      </x:c>
      <x:c r="I8" s="49" t="n">
        <x:v>25416</x:v>
      </x:c>
      <x:c r="J8" s="49" t="n">
        <x:v>25416</x:v>
      </x:c>
      <x:c r="K8" s="49" t="n">
        <x:v>25416</x:v>
      </x:c>
      <x:c r="L8" s="49" t="n">
        <x:v>25416</x:v>
      </x:c>
      <x:c r="M8" s="49" t="n">
        <x:v>25416</x:v>
      </x:c>
      <x:c r="N8" s="49" t="n">
        <x:v>25416</x:v>
      </x:c>
      <x:c r="O8" s="49" t="n">
        <x:v>28750</x:v>
      </x:c>
      <x:c r="P8" s="49" t="n">
        <x:v>28750</x:v>
      </x:c>
      <x:c r="Q8" s="49" t="n">
        <x:v>28750</x:v>
      </x:c>
      <x:c r="R8" s="49" t="n">
        <x:v>28750</x:v>
      </x:c>
      <x:c r="S8" s="49" t="n">
        <x:v>28750</x:v>
      </x:c>
      <x:c r="T8" s="49" t="n">
        <x:v>28750</x:v>
      </x:c>
      <x:c r="U8" s="49" t="n">
        <x:v>31250</x:v>
      </x:c>
      <x:c r="V8" s="49" t="n">
        <x:v>31250</x:v>
      </x:c>
      <x:c r="W8" s="49" t="n">
        <x:v>31250</x:v>
      </x:c>
      <x:c r="X8" s="49" t="n">
        <x:v>31250</x:v>
      </x:c>
      <x:c r="Y8" s="49" t="n">
        <x:v>31250</x:v>
      </x:c>
      <x:c r="Z8" s="59" t="n">
        <x:v>31256</x:v>
      </x:c>
    </x:row>
    <x:row r="9" s="4" customFormat="1" ht="15" customHeight="1">
      <x:c r="B9" s="9" t="inlineStr">
        <x:is>
          <x:t xml:space="preserve">Founder draw</x:t>
        </x:is>
      </x:c>
      <x:c r="C9" s="60" t="n">
        <x:v>7000</x:v>
      </x:c>
      <x:c r="D9" s="50" t="n">
        <x:v>7000</x:v>
      </x:c>
      <x:c r="E9" s="50" t="n">
        <x:v>7000</x:v>
      </x:c>
      <x:c r="F9" s="50" t="n">
        <x:v>7000</x:v>
      </x:c>
      <x:c r="G9" s="50" t="n">
        <x:v>7000</x:v>
      </x:c>
      <x:c r="H9" s="50" t="n">
        <x:v>7000</x:v>
      </x:c>
      <x:c r="I9" s="50" t="n">
        <x:v>7000</x:v>
      </x:c>
      <x:c r="J9" s="50" t="n">
        <x:v>7000</x:v>
      </x:c>
      <x:c r="K9" s="50" t="n">
        <x:v>7000</x:v>
      </x:c>
      <x:c r="L9" s="50" t="n">
        <x:v>7000</x:v>
      </x:c>
      <x:c r="M9" s="50" t="n">
        <x:v>7000</x:v>
      </x:c>
      <x:c r="N9" s="50" t="n">
        <x:v>7000</x:v>
      </x:c>
      <x:c r="O9" s="50" t="n">
        <x:v>7000</x:v>
      </x:c>
      <x:c r="P9" s="50" t="n">
        <x:v>7000</x:v>
      </x:c>
      <x:c r="Q9" s="50" t="n">
        <x:v>7000</x:v>
      </x:c>
      <x:c r="R9" s="50" t="n">
        <x:v>7000</x:v>
      </x:c>
      <x:c r="S9" s="50" t="n">
        <x:v>7000</x:v>
      </x:c>
      <x:c r="T9" s="50" t="n">
        <x:v>7000</x:v>
      </x:c>
      <x:c r="U9" s="50" t="n">
        <x:v>7000</x:v>
      </x:c>
      <x:c r="V9" s="50" t="n">
        <x:v>7000</x:v>
      </x:c>
      <x:c r="W9" s="50" t="n">
        <x:v>7000</x:v>
      </x:c>
      <x:c r="X9" s="50" t="n">
        <x:v>7000</x:v>
      </x:c>
      <x:c r="Y9" s="50" t="n">
        <x:v>7000</x:v>
      </x:c>
      <x:c r="Z9" s="61" t="n">
        <x:v>7000</x:v>
      </x:c>
    </x:row>
    <x:row r="10" s="4" customFormat="1" ht="15" customHeight="1">
      <x:c r="B10" s="9" t="inlineStr">
        <x:is>
          <x:t xml:space="preserve">Admin / project operations</x:t>
        </x:is>
      </x:c>
      <x:c r="C10" s="60" t="n">
        <x:v>10000</x:v>
      </x:c>
      <x:c r="D10" s="50" t="n">
        <x:v>10000</x:v>
      </x:c>
      <x:c r="E10" s="50" t="n">
        <x:v>10000</x:v>
      </x:c>
      <x:c r="F10" s="50" t="n">
        <x:v>10000</x:v>
      </x:c>
      <x:c r="G10" s="50" t="n">
        <x:v>10000</x:v>
      </x:c>
      <x:c r="H10" s="50" t="n">
        <x:v>10000</x:v>
      </x:c>
      <x:c r="I10" s="50" t="n">
        <x:v>10000</x:v>
      </x:c>
      <x:c r="J10" s="50" t="n">
        <x:v>10000</x:v>
      </x:c>
      <x:c r="K10" s="50" t="n">
        <x:v>10000</x:v>
      </x:c>
      <x:c r="L10" s="50" t="n">
        <x:v>10000</x:v>
      </x:c>
      <x:c r="M10" s="50" t="n">
        <x:v>10000</x:v>
      </x:c>
      <x:c r="N10" s="50" t="n">
        <x:v>10000</x:v>
      </x:c>
      <x:c r="O10" s="50" t="n">
        <x:v>10000</x:v>
      </x:c>
      <x:c r="P10" s="50" t="n">
        <x:v>10000</x:v>
      </x:c>
      <x:c r="Q10" s="50" t="n">
        <x:v>10000</x:v>
      </x:c>
      <x:c r="R10" s="50" t="n">
        <x:v>10000</x:v>
      </x:c>
      <x:c r="S10" s="50" t="n">
        <x:v>10000</x:v>
      </x:c>
      <x:c r="T10" s="50" t="n">
        <x:v>10000</x:v>
      </x:c>
      <x:c r="U10" s="50" t="n">
        <x:v>10000</x:v>
      </x:c>
      <x:c r="V10" s="50" t="n">
        <x:v>10000</x:v>
      </x:c>
      <x:c r="W10" s="50" t="n">
        <x:v>10000</x:v>
      </x:c>
      <x:c r="X10" s="50" t="n">
        <x:v>10000</x:v>
      </x:c>
      <x:c r="Y10" s="50" t="n">
        <x:v>10000</x:v>
      </x:c>
      <x:c r="Z10" s="61" t="n">
        <x:v>10000</x:v>
      </x:c>
    </x:row>
    <x:row r="11" s="4" customFormat="1" ht="15" customHeight="1">
      <x:c r="B11" s="9" t="inlineStr">
        <x:is>
          <x:t xml:space="preserve">Legal / compliance</x:t>
        </x:is>
      </x:c>
      <x:c r="C11" s="60" t="n">
        <x:v>20000</x:v>
      </x:c>
      <x:c r="D11" s="50" t="n">
        <x:v>15000</x:v>
      </x:c>
      <x:c r="E11" s="50" t="n">
        <x:v>15000</x:v>
      </x:c>
      <x:c r="F11" s="50" t="n">
        <x:v>15000</x:v>
      </x:c>
      <x:c r="G11" s="50" t="n">
        <x:v>15000</x:v>
      </x:c>
      <x:c r="H11" s="50" t="n">
        <x:v>12500</x:v>
      </x:c>
      <x:c r="I11" s="50" t="n">
        <x:v>10000</x:v>
      </x:c>
      <x:c r="J11" s="50" t="n">
        <x:v>10000</x:v>
      </x:c>
      <x:c r="K11" s="50" t="n">
        <x:v>10000</x:v>
      </x:c>
      <x:c r="L11" s="50" t="n">
        <x:v>10000</x:v>
      </x:c>
      <x:c r="M11" s="50" t="n">
        <x:v>10000</x:v>
      </x:c>
      <x:c r="N11" s="50" t="n">
        <x:v>7500</x:v>
      </x:c>
      <x:c r="O11" s="50" t="n">
        <x:v>0</x:v>
      </x:c>
      <x:c r="P11" s="50" t="n">
        <x:v>0</x:v>
      </x:c>
      <x:c r="Q11" s="50" t="n">
        <x:v>0</x:v>
      </x:c>
      <x:c r="R11" s="50" t="n">
        <x:v>0</x:v>
      </x:c>
      <x:c r="S11" s="50" t="n">
        <x:v>0</x:v>
      </x:c>
      <x:c r="T11" s="50" t="n">
        <x:v>0</x:v>
      </x:c>
      <x:c r="U11" s="50" t="n">
        <x:v>0</x:v>
      </x:c>
      <x:c r="V11" s="50" t="n">
        <x:v>0</x:v>
      </x:c>
      <x:c r="W11" s="50" t="n">
        <x:v>0</x:v>
      </x:c>
      <x:c r="X11" s="50" t="n">
        <x:v>0</x:v>
      </x:c>
      <x:c r="Y11" s="50" t="n">
        <x:v>0</x:v>
      </x:c>
      <x:c r="Z11" s="61" t="n">
        <x:v>0</x:v>
      </x:c>
    </x:row>
    <x:row r="12" s="4" customFormat="1" ht="15" customHeight="1">
      <x:c r="B12" s="9" t="inlineStr">
        <x:is>
          <x:t xml:space="preserve">Token engineering / governance</x:t>
        </x:is>
      </x:c>
      <x:c r="C12" s="60" t="n">
        <x:v>0</x:v>
      </x:c>
      <x:c r="D12" s="50" t="n">
        <x:v>0</x:v>
      </x:c>
      <x:c r="E12" s="50" t="n">
        <x:v>0</x:v>
      </x:c>
      <x:c r="F12" s="50" t="n">
        <x:v>5000</x:v>
      </x:c>
      <x:c r="G12" s="50" t="n">
        <x:v>15000</x:v>
      </x:c>
      <x:c r="H12" s="50" t="n">
        <x:v>15000</x:v>
      </x:c>
      <x:c r="I12" s="50" t="n">
        <x:v>15000</x:v>
      </x:c>
      <x:c r="J12" s="50" t="n">
        <x:v>15000</x:v>
      </x:c>
      <x:c r="K12" s="50" t="n">
        <x:v>15000</x:v>
      </x:c>
      <x:c r="L12" s="50" t="n">
        <x:v>15000</x:v>
      </x:c>
      <x:c r="M12" s="50" t="n">
        <x:v>15000</x:v>
      </x:c>
      <x:c r="N12" s="50" t="n">
        <x:v>15000</x:v>
      </x:c>
      <x:c r="O12" s="50" t="n">
        <x:v>0</x:v>
      </x:c>
      <x:c r="P12" s="50" t="n">
        <x:v>0</x:v>
      </x:c>
      <x:c r="Q12" s="50" t="n">
        <x:v>0</x:v>
      </x:c>
      <x:c r="R12" s="50" t="n">
        <x:v>0</x:v>
      </x:c>
      <x:c r="S12" s="50" t="n">
        <x:v>0</x:v>
      </x:c>
      <x:c r="T12" s="50" t="n">
        <x:v>0</x:v>
      </x:c>
      <x:c r="U12" s="50" t="n">
        <x:v>0</x:v>
      </x:c>
      <x:c r="V12" s="50" t="n">
        <x:v>0</x:v>
      </x:c>
      <x:c r="W12" s="50" t="n">
        <x:v>0</x:v>
      </x:c>
      <x:c r="X12" s="50" t="n">
        <x:v>0</x:v>
      </x:c>
      <x:c r="Y12" s="50" t="n">
        <x:v>0</x:v>
      </x:c>
      <x:c r="Z12" s="61" t="n">
        <x:v>0</x:v>
      </x:c>
    </x:row>
    <x:row r="13" s="4" customFormat="1" ht="15" customHeight="1">
      <x:c r="B13" s="9" t="inlineStr">
        <x:is>
          <x:t xml:space="preserve">Market liquidity / MM readiness</x:t>
        </x:is>
      </x:c>
      <x:c r="C13" s="60" t="n">
        <x:v>0</x:v>
      </x:c>
      <x:c r="D13" s="50" t="n">
        <x:v>0</x:v>
      </x:c>
      <x:c r="E13" s="50" t="n">
        <x:v>0</x:v>
      </x:c>
      <x:c r="F13" s="50" t="n">
        <x:v>0</x:v>
      </x:c>
      <x:c r="G13" s="50" t="n">
        <x:v>0</x:v>
      </x:c>
      <x:c r="H13" s="50" t="n">
        <x:v>0</x:v>
      </x:c>
      <x:c r="I13" s="50" t="n">
        <x:v>0</x:v>
      </x:c>
      <x:c r="J13" s="50" t="n">
        <x:v>0</x:v>
      </x:c>
      <x:c r="K13" s="50" t="n">
        <x:v>0</x:v>
      </x:c>
      <x:c r="L13" s="50" t="n">
        <x:v>25000</x:v>
      </x:c>
      <x:c r="M13" s="50" t="n">
        <x:v>25000</x:v>
      </x:c>
      <x:c r="N13" s="50" t="n">
        <x:v>25000</x:v>
      </x:c>
      <x:c r="O13" s="50" t="n">
        <x:v>30000</x:v>
      </x:c>
      <x:c r="P13" s="50" t="n">
        <x:v>30000</x:v>
      </x:c>
      <x:c r="Q13" s="50" t="n">
        <x:v>30000</x:v>
      </x:c>
      <x:c r="R13" s="50" t="n">
        <x:v>30000</x:v>
      </x:c>
      <x:c r="S13" s="50" t="n">
        <x:v>30000</x:v>
      </x:c>
      <x:c r="T13" s="50" t="n">
        <x:v>25000</x:v>
      </x:c>
      <x:c r="U13" s="50" t="n">
        <x:v>0</x:v>
      </x:c>
      <x:c r="V13" s="50" t="n">
        <x:v>0</x:v>
      </x:c>
      <x:c r="W13" s="50" t="n">
        <x:v>0</x:v>
      </x:c>
      <x:c r="X13" s="50" t="n">
        <x:v>0</x:v>
      </x:c>
      <x:c r="Y13" s="50" t="n">
        <x:v>0</x:v>
      </x:c>
      <x:c r="Z13" s="61" t="n">
        <x:v>0</x:v>
      </x:c>
    </x:row>
    <x:row r="14" s="4" customFormat="1" ht="15" customHeight="1">
      <x:c r="B14" s="9" t="inlineStr">
        <x:is>
          <x:t xml:space="preserve">Infrastructure / tools</x:t>
        </x:is>
      </x:c>
      <x:c r="C14" s="60" t="n">
        <x:v>2000</x:v>
      </x:c>
      <x:c r="D14" s="50" t="n">
        <x:v>2000</x:v>
      </x:c>
      <x:c r="E14" s="50" t="n">
        <x:v>2000</x:v>
      </x:c>
      <x:c r="F14" s="50" t="n">
        <x:v>2000</x:v>
      </x:c>
      <x:c r="G14" s="50" t="n">
        <x:v>2000</x:v>
      </x:c>
      <x:c r="H14" s="50" t="n">
        <x:v>2000</x:v>
      </x:c>
      <x:c r="I14" s="50" t="n">
        <x:v>4000</x:v>
      </x:c>
      <x:c r="J14" s="50" t="n">
        <x:v>4000</x:v>
      </x:c>
      <x:c r="K14" s="50" t="n">
        <x:v>4000</x:v>
      </x:c>
      <x:c r="L14" s="50" t="n">
        <x:v>4000</x:v>
      </x:c>
      <x:c r="M14" s="50" t="n">
        <x:v>4000</x:v>
      </x:c>
      <x:c r="N14" s="50" t="n">
        <x:v>4000</x:v>
      </x:c>
      <x:c r="O14" s="50" t="n">
        <x:v>7000</x:v>
      </x:c>
      <x:c r="P14" s="50" t="n">
        <x:v>7000</x:v>
      </x:c>
      <x:c r="Q14" s="50" t="n">
        <x:v>7000</x:v>
      </x:c>
      <x:c r="R14" s="50" t="n">
        <x:v>7000</x:v>
      </x:c>
      <x:c r="S14" s="50" t="n">
        <x:v>7000</x:v>
      </x:c>
      <x:c r="T14" s="50" t="n">
        <x:v>7000</x:v>
      </x:c>
      <x:c r="U14" s="50" t="n">
        <x:v>7000</x:v>
      </x:c>
      <x:c r="V14" s="50" t="n">
        <x:v>7000</x:v>
      </x:c>
      <x:c r="W14" s="50" t="n">
        <x:v>7000</x:v>
      </x:c>
      <x:c r="X14" s="50" t="n">
        <x:v>7000</x:v>
      </x:c>
      <x:c r="Y14" s="50" t="n">
        <x:v>7000</x:v>
      </x:c>
      <x:c r="Z14" s="61" t="n">
        <x:v>7000</x:v>
      </x:c>
    </x:row>
    <x:row r="15" s="4" customFormat="1" ht="15" customHeight="1">
      <x:c r="B15" s="9" t="inlineStr">
        <x:is>
          <x:t xml:space="preserve">Market-development hub</x:t>
        </x:is>
      </x:c>
      <x:c r="C15" s="60" t="n">
        <x:v>0</x:v>
      </x:c>
      <x:c r="D15" s="50" t="n">
        <x:v>0</x:v>
      </x:c>
      <x:c r="E15" s="50" t="n">
        <x:v>4500</x:v>
      </x:c>
      <x:c r="F15" s="50" t="n">
        <x:v>4500</x:v>
      </x:c>
      <x:c r="G15" s="50" t="n">
        <x:v>4500</x:v>
      </x:c>
      <x:c r="H15" s="50" t="n">
        <x:v>4500</x:v>
      </x:c>
      <x:c r="I15" s="50" t="n">
        <x:v>4500</x:v>
      </x:c>
      <x:c r="J15" s="50" t="n">
        <x:v>4500</x:v>
      </x:c>
      <x:c r="K15" s="50" t="n">
        <x:v>4500</x:v>
      </x:c>
      <x:c r="L15" s="50" t="n">
        <x:v>4500</x:v>
      </x:c>
      <x:c r="M15" s="50" t="n">
        <x:v>4500</x:v>
      </x:c>
      <x:c r="N15" s="50" t="n">
        <x:v>4500</x:v>
      </x:c>
      <x:c r="O15" s="50" t="n">
        <x:v>4500</x:v>
      </x:c>
      <x:c r="P15" s="50" t="n">
        <x:v>4500</x:v>
      </x:c>
      <x:c r="Q15" s="50" t="n">
        <x:v>4500</x:v>
      </x:c>
      <x:c r="R15" s="50" t="n">
        <x:v>4500</x:v>
      </x:c>
      <x:c r="S15" s="50" t="n">
        <x:v>4500</x:v>
      </x:c>
      <x:c r="T15" s="50" t="n">
        <x:v>4500</x:v>
      </x:c>
      <x:c r="U15" s="50" t="n">
        <x:v>5000</x:v>
      </x:c>
      <x:c r="V15" s="50" t="n">
        <x:v>5000</x:v>
      </x:c>
      <x:c r="W15" s="50" t="n">
        <x:v>5000</x:v>
      </x:c>
      <x:c r="X15" s="50" t="n">
        <x:v>5000</x:v>
      </x:c>
      <x:c r="Y15" s="50" t="n">
        <x:v>5000</x:v>
      </x:c>
      <x:c r="Z15" s="61" t="n">
        <x:v>3000</x:v>
      </x:c>
    </x:row>
    <x:row r="16" s="4" customFormat="1" ht="15" customHeight="1">
      <x:c r="B16" s="9" t="inlineStr">
        <x:is>
          <x:t xml:space="preserve">Strategic events</x:t>
        </x:is>
      </x:c>
      <x:c r="C16" s="60" t="n">
        <x:v>10000</x:v>
      </x:c>
      <x:c r="D16" s="50" t="n">
        <x:v>0</x:v>
      </x:c>
      <x:c r="E16" s="50" t="n">
        <x:v>0</x:v>
      </x:c>
      <x:c r="F16" s="50" t="n">
        <x:v>8000</x:v>
      </x:c>
      <x:c r="G16" s="50" t="n">
        <x:v>0</x:v>
      </x:c>
      <x:c r="H16" s="50" t="n">
        <x:v>0</x:v>
      </x:c>
      <x:c r="I16" s="50" t="n">
        <x:v>8000</x:v>
      </x:c>
      <x:c r="J16" s="50" t="n">
        <x:v>0</x:v>
      </x:c>
      <x:c r="K16" s="50" t="n">
        <x:v>0</x:v>
      </x:c>
      <x:c r="L16" s="50" t="n">
        <x:v>8000</x:v>
      </x:c>
      <x:c r="M16" s="50" t="n">
        <x:v>0</x:v>
      </x:c>
      <x:c r="N16" s="50" t="n">
        <x:v>0</x:v>
      </x:c>
      <x:c r="O16" s="50" t="n">
        <x:v>8000</x:v>
      </x:c>
      <x:c r="P16" s="50" t="n">
        <x:v>0</x:v>
      </x:c>
      <x:c r="Q16" s="50" t="n">
        <x:v>0</x:v>
      </x:c>
      <x:c r="R16" s="50" t="n">
        <x:v>8000</x:v>
      </x:c>
      <x:c r="S16" s="50" t="n">
        <x:v>0</x:v>
      </x:c>
      <x:c r="T16" s="50" t="n">
        <x:v>0</x:v>
      </x:c>
      <x:c r="U16" s="50" t="n">
        <x:v>0</x:v>
      </x:c>
      <x:c r="V16" s="50" t="n">
        <x:v>0</x:v>
      </x:c>
      <x:c r="W16" s="50" t="n">
        <x:v>0</x:v>
      </x:c>
      <x:c r="X16" s="50" t="n">
        <x:v>0</x:v>
      </x:c>
      <x:c r="Y16" s="50" t="n">
        <x:v>0</x:v>
      </x:c>
      <x:c r="Z16" s="61" t="n">
        <x:v>0</x:v>
      </x:c>
    </x:row>
    <x:row r="17" s="4" customFormat="1" ht="15" customHeight="1">
      <x:c r="B17" s="9" t="inlineStr">
        <x:is>
          <x:t xml:space="preserve">Monthly spend</x:t>
        </x:is>
      </x:c>
      <x:c r="C17" s="60" t="n">
        <x:f>SUM(C8:C16)</x:f>
        <x:v>66083</x:v>
      </x:c>
      <x:c r="D17" s="50" t="n">
        <x:f>SUM(D8:D16)</x:f>
        <x:v>55083</x:v>
      </x:c>
      <x:c r="E17" s="50" t="n">
        <x:f>SUM(E8:E16)</x:f>
        <x:v>59583</x:v>
      </x:c>
      <x:c r="F17" s="50" t="n">
        <x:f>SUM(F8:F16)</x:f>
        <x:v>77583</x:v>
      </x:c>
      <x:c r="G17" s="50" t="n">
        <x:f>SUM(G8:G16)</x:f>
        <x:v>79583</x:v>
      </x:c>
      <x:c r="H17" s="50" t="n">
        <x:f>SUM(H8:H16)</x:f>
        <x:v>77083</x:v>
      </x:c>
      <x:c r="I17" s="50" t="n">
        <x:f>SUM(I8:I16)</x:f>
        <x:v>83916</x:v>
      </x:c>
      <x:c r="J17" s="50" t="n">
        <x:f>SUM(J8:J16)</x:f>
        <x:v>75916</x:v>
      </x:c>
      <x:c r="K17" s="50" t="n">
        <x:f>SUM(K8:K16)</x:f>
        <x:v>75916</x:v>
      </x:c>
      <x:c r="L17" s="50" t="n">
        <x:f>SUM(L8:L16)</x:f>
        <x:v>108916</x:v>
      </x:c>
      <x:c r="M17" s="50" t="n">
        <x:f>SUM(M8:M16)</x:f>
        <x:v>100916</x:v>
      </x:c>
      <x:c r="N17" s="50" t="n">
        <x:f>SUM(N8:N16)</x:f>
        <x:v>98416</x:v>
      </x:c>
      <x:c r="O17" s="50" t="n">
        <x:f>SUM(O8:O16)</x:f>
        <x:v>95250</x:v>
      </x:c>
      <x:c r="P17" s="50" t="n">
        <x:f>SUM(P8:P16)</x:f>
        <x:v>87250</x:v>
      </x:c>
      <x:c r="Q17" s="50" t="n">
        <x:f>SUM(Q8:Q16)</x:f>
        <x:v>87250</x:v>
      </x:c>
      <x:c r="R17" s="50" t="n">
        <x:f>SUM(R8:R16)</x:f>
        <x:v>95250</x:v>
      </x:c>
      <x:c r="S17" s="50" t="n">
        <x:f>SUM(S8:S16)</x:f>
        <x:v>87250</x:v>
      </x:c>
      <x:c r="T17" s="50" t="n">
        <x:f>SUM(T8:T16)</x:f>
        <x:v>82250</x:v>
      </x:c>
      <x:c r="U17" s="50" t="n">
        <x:f>SUM(U8:U16)</x:f>
        <x:v>60250</x:v>
      </x:c>
      <x:c r="V17" s="50" t="n">
        <x:f>SUM(V8:V16)</x:f>
        <x:v>60250</x:v>
      </x:c>
      <x:c r="W17" s="50" t="n">
        <x:f>SUM(W8:W16)</x:f>
        <x:v>60250</x:v>
      </x:c>
      <x:c r="X17" s="50" t="n">
        <x:f>SUM(X8:X16)</x:f>
        <x:v>60250</x:v>
      </x:c>
      <x:c r="Y17" s="50" t="n">
        <x:f>SUM(Y8:Y16)</x:f>
        <x:v>60250</x:v>
      </x:c>
      <x:c r="Z17" s="61" t="n">
        <x:f>SUM(Z8:Z16)</x:f>
        <x:v>58256</x:v>
      </x:c>
    </x:row>
    <x:row r="18" s="4" customFormat="1" ht="15" customHeight="1">
      <x:c r="B18" s="9" t="inlineStr">
        <x:is>
          <x:t xml:space="preserve">Cumulative spend</x:t>
        </x:is>
      </x:c>
      <x:c r="C18" s="60" t="n">
        <x:f>C17</x:f>
        <x:v>66083</x:v>
      </x:c>
      <x:c r="D18" s="50" t="n">
        <x:f>C18+D17</x:f>
        <x:v>121166</x:v>
      </x:c>
      <x:c r="E18" s="50" t="n">
        <x:f>D18+E17</x:f>
        <x:v>180749</x:v>
      </x:c>
      <x:c r="F18" s="50" t="n">
        <x:f>E18+F17</x:f>
        <x:v>258332</x:v>
      </x:c>
      <x:c r="G18" s="50" t="n">
        <x:f>F18+G17</x:f>
        <x:v>337915</x:v>
      </x:c>
      <x:c r="H18" s="50" t="n">
        <x:f>G18+H17</x:f>
        <x:v>414998</x:v>
      </x:c>
      <x:c r="I18" s="50" t="n">
        <x:f>H18+I17</x:f>
        <x:v>498914</x:v>
      </x:c>
      <x:c r="J18" s="50" t="n">
        <x:f>I18+J17</x:f>
        <x:v>574830</x:v>
      </x:c>
      <x:c r="K18" s="50" t="n">
        <x:f>J18+K17</x:f>
        <x:v>650746</x:v>
      </x:c>
      <x:c r="L18" s="50" t="n">
        <x:f>K18+L17</x:f>
        <x:v>759662</x:v>
      </x:c>
      <x:c r="M18" s="50" t="n">
        <x:f>L18+M17</x:f>
        <x:v>860578</x:v>
      </x:c>
      <x:c r="N18" s="50" t="n">
        <x:f>M18+N17</x:f>
        <x:v>958994</x:v>
      </x:c>
      <x:c r="O18" s="50" t="n">
        <x:f>N18+O17</x:f>
        <x:v>1054244</x:v>
      </x:c>
      <x:c r="P18" s="50" t="n">
        <x:f>O18+P17</x:f>
        <x:v>1141494</x:v>
      </x:c>
      <x:c r="Q18" s="50" t="n">
        <x:f>P18+Q17</x:f>
        <x:v>1228744</x:v>
      </x:c>
      <x:c r="R18" s="50" t="n">
        <x:f>Q18+R17</x:f>
        <x:v>1323994</x:v>
      </x:c>
      <x:c r="S18" s="50" t="n">
        <x:f>R18+S17</x:f>
        <x:v>1411244</x:v>
      </x:c>
      <x:c r="T18" s="50" t="n">
        <x:f>S18+T17</x:f>
        <x:v>1493494</x:v>
      </x:c>
      <x:c r="U18" s="50" t="n">
        <x:f>T18+U17</x:f>
        <x:v>1553744</x:v>
      </x:c>
      <x:c r="V18" s="50" t="n">
        <x:f>U18+V17</x:f>
        <x:v>1613994</x:v>
      </x:c>
      <x:c r="W18" s="50" t="n">
        <x:f>V18+W17</x:f>
        <x:v>1674244</x:v>
      </x:c>
      <x:c r="X18" s="50" t="n">
        <x:f>W18+X17</x:f>
        <x:v>1734494</x:v>
      </x:c>
      <x:c r="Y18" s="50" t="n">
        <x:f>X18+Y17</x:f>
        <x:v>1794744</x:v>
      </x:c>
      <x:c r="Z18" s="61" t="n">
        <x:f>Y18+Z17</x:f>
        <x:v>1853000</x:v>
      </x:c>
    </x:row>
    <x:row r="19" s="4" customFormat="1" ht="15" customHeight="1">
      <x:c r="B19" s="9" t="inlineStr">
        <x:is>
          <x:t xml:space="preserve">Ending cash</x:t>
        </x:is>
      </x:c>
      <x:c r="C19" s="60" t="n">
        <x:f>2000000-C18</x:f>
        <x:v>1933917</x:v>
      </x:c>
      <x:c r="D19" s="50" t="n">
        <x:f>2000000-D18</x:f>
        <x:v>1878834</x:v>
      </x:c>
      <x:c r="E19" s="50" t="n">
        <x:f>2000000-E18</x:f>
        <x:v>1819251</x:v>
      </x:c>
      <x:c r="F19" s="50" t="n">
        <x:f>2000000-F18</x:f>
        <x:v>1741668</x:v>
      </x:c>
      <x:c r="G19" s="50" t="n">
        <x:f>2000000-G18</x:f>
        <x:v>1662085</x:v>
      </x:c>
      <x:c r="H19" s="50" t="n">
        <x:f>2000000-H18</x:f>
        <x:v>1585002</x:v>
      </x:c>
      <x:c r="I19" s="50" t="n">
        <x:f>2000000-I18</x:f>
        <x:v>1501086</x:v>
      </x:c>
      <x:c r="J19" s="50" t="n">
        <x:f>2000000-J18</x:f>
        <x:v>1425170</x:v>
      </x:c>
      <x:c r="K19" s="50" t="n">
        <x:f>2000000-K18</x:f>
        <x:v>1349254</x:v>
      </x:c>
      <x:c r="L19" s="50" t="n">
        <x:f>2000000-L18</x:f>
        <x:v>1240338</x:v>
      </x:c>
      <x:c r="M19" s="50" t="n">
        <x:f>2000000-M18</x:f>
        <x:v>1139422</x:v>
      </x:c>
      <x:c r="N19" s="50" t="n">
        <x:f>2000000-N18</x:f>
        <x:v>1041006</x:v>
      </x:c>
      <x:c r="O19" s="50" t="n">
        <x:f>2000000-O18</x:f>
        <x:v>945756</x:v>
      </x:c>
      <x:c r="P19" s="50" t="n">
        <x:f>2000000-P18</x:f>
        <x:v>858506</x:v>
      </x:c>
      <x:c r="Q19" s="50" t="n">
        <x:f>2000000-Q18</x:f>
        <x:v>771256</x:v>
      </x:c>
      <x:c r="R19" s="50" t="n">
        <x:f>2000000-R18</x:f>
        <x:v>676006</x:v>
      </x:c>
      <x:c r="S19" s="50" t="n">
        <x:f>2000000-S18</x:f>
        <x:v>588756</x:v>
      </x:c>
      <x:c r="T19" s="50" t="n">
        <x:f>2000000-T18</x:f>
        <x:v>506506</x:v>
      </x:c>
      <x:c r="U19" s="50" t="n">
        <x:f>2000000-U18</x:f>
        <x:v>446256</x:v>
      </x:c>
      <x:c r="V19" s="50" t="n">
        <x:f>2000000-V18</x:f>
        <x:v>386006</x:v>
      </x:c>
      <x:c r="W19" s="50" t="n">
        <x:f>2000000-W18</x:f>
        <x:v>325756</x:v>
      </x:c>
      <x:c r="X19" s="50" t="n">
        <x:f>2000000-X18</x:f>
        <x:v>265506</x:v>
      </x:c>
      <x:c r="Y19" s="50" t="n">
        <x:f>2000000-Y18</x:f>
        <x:v>205256</x:v>
      </x:c>
      <x:c r="Z19" s="61" t="n">
        <x:f>2000000-Z18</x:f>
        <x:v>147000</x:v>
      </x:c>
    </x:row>
    <x:row r="20" s="4" customFormat="1" ht="15" customHeight="1">
      <x:c r="B20" s="9" t="inlineStr">
        <x:is>
          <x:t xml:space="preserve">Milestone</x:t>
        </x:is>
      </x:c>
      <x:c r="C20" s="20" t="inlineStr">
        <x:is>
          <x:t xml:space="preserve">Close / counsel</x:t>
        </x:is>
      </x:c>
      <x:c r="D20" s="21" t="inlineStr">
        <x:is>
          <x:t xml:space="preserve">Counsel</x:t>
        </x:is>
      </x:c>
      <x:c r="E20" s="21" t="inlineStr">
        <x:is>
          <x:t xml:space="preserve">Provider map</x:t>
        </x:is>
      </x:c>
      <x:c r="F20" s="21" t="inlineStr">
        <x:is>
          <x:t xml:space="preserve">MVP build</x:t>
        </x:is>
      </x:c>
      <x:c r="G20" s="21" t="inlineStr">
        <x:is>
          <x:t xml:space="preserve">MVP build</x:t>
        </x:is>
      </x:c>
      <x:c r="H20" s="21" t="inlineStr">
        <x:is>
          <x:t xml:space="preserve">MVP demo</x:t>
        </x:is>
      </x:c>
      <x:c r="I20" s="21" t="inlineStr">
        <x:is>
          <x:t xml:space="preserve">Launch readiness</x:t>
        </x:is>
      </x:c>
      <x:c r="J20" s="21" t="inlineStr">
        <x:is>
          <x:t xml:space="preserve">Buyer activation</x:t>
        </x:is>
      </x:c>
      <x:c r="K20" s="21" t="inlineStr">
        <x:is>
          <x:t xml:space="preserve">Buyer activation</x:t>
        </x:is>
      </x:c>
      <x:c r="L20" s="21" t="inlineStr">
        <x:is>
          <x:t xml:space="preserve">Paid workflow</x:t>
        </x:is>
      </x:c>
      <x:c r="M20" s="21" t="inlineStr">
        <x:is>
          <x:t xml:space="preserve">Reporting</x:t>
        </x:is>
      </x:c>
      <x:c r="N20" s="21" t="inlineStr">
        <x:is>
          <x:t xml:space="preserve">Year 1 review</x:t>
        </x:is>
      </x:c>
      <x:c r="O20" s="21" t="inlineStr">
        <x:is>
          <x:t xml:space="preserve">Seed KPI build</x:t>
        </x:is>
      </x:c>
      <x:c r="P20" s="21" t="inlineStr">
        <x:is>
          <x:t xml:space="preserve">Provider LOIs</x:t>
        </x:is>
      </x:c>
      <x:c r="Q20" s="21" t="inlineStr">
        <x:is>
          <x:t xml:space="preserve">Repeatable sourcing</x:t>
        </x:is>
      </x:c>
      <x:c r="R20" s="21" t="inlineStr">
        <x:is>
          <x:t xml:space="preserve">AI/dApp rules</x:t>
        </x:is>
      </x:c>
      <x:c r="S20" s="21" t="inlineStr">
        <x:is>
          <x:t xml:space="preserve">Revenue cohorts</x:t>
        </x:is>
      </x:c>
      <x:c r="T20" s="21" t="inlineStr">
        <x:is>
          <x:t xml:space="preserve">Gate review</x:t>
        </x:is>
      </x:c>
      <x:c r="U20" s="21" t="inlineStr">
        <x:is>
          <x:t xml:space="preserve">Seed pack</x:t>
        </x:is>
      </x:c>
      <x:c r="V20" s="21" t="inlineStr">
        <x:is>
          <x:t xml:space="preserve">Scale plan</x:t>
        </x:is>
      </x:c>
      <x:c r="W20" s="21" t="inlineStr">
        <x:is>
          <x:t xml:space="preserve">Investor process</x:t>
        </x:is>
      </x:c>
      <x:c r="X20" s="21" t="inlineStr">
        <x:is>
          <x:t xml:space="preserve">Diligence</x:t>
        </x:is>
      </x:c>
      <x:c r="Y20" s="21" t="inlineStr">
        <x:is>
          <x:t xml:space="preserve">Lead investor</x:t>
        </x:is>
      </x:c>
      <x:c r="Z20" s="22" t="inlineStr">
        <x:is>
          <x:t xml:space="preserve">Runway close</x:t>
        </x:is>
      </x:c>
    </x:row>
    <x:row r="21" s="4" customFormat="1" ht="15" customHeight="1">
      <x:c r="B21" s="9" t="inlineStr">
        <x:is>
          <x:t xml:space="preserve">Notes</x:t>
        </x:is>
      </x:c>
      <x:c r="C21" s="20" t="inlineStr">
        <x:is>
          <x:t xml:space="preserve">Protect reserve; avoid premature liquidity spend.</x:t>
        </x:is>
      </x:c>
      <x:c r="D21" s="21" t="inlineStr">
        <x:is>
          <x:t xml:space="preserve">Protect reserve; avoid premature liquidity spend.</x:t>
        </x:is>
      </x:c>
      <x:c r="E21" s="21" t="inlineStr">
        <x:is>
          <x:t xml:space="preserve">Protect reserve; avoid premature liquidity spend.</x:t>
        </x:is>
      </x:c>
      <x:c r="F21" s="21" t="inlineStr">
        <x:is>
          <x:t xml:space="preserve">Protect reserve; avoid premature liquidity spend.</x:t>
        </x:is>
      </x:c>
      <x:c r="G21" s="21" t="inlineStr">
        <x:is>
          <x:t xml:space="preserve">Protect reserve; avoid premature liquidity spend.</x:t>
        </x:is>
      </x:c>
      <x:c r="H21" s="21" t="inlineStr">
        <x:is>
          <x:t xml:space="preserve">Protect reserve; avoid premature liquidity spend.</x:t>
        </x:is>
      </x:c>
      <x:c r="I21" s="21" t="inlineStr">
        <x:is>
          <x:t xml:space="preserve">Protect reserve; avoid premature liquidity spend.</x:t>
        </x:is>
      </x:c>
      <x:c r="J21" s="21" t="inlineStr">
        <x:is>
          <x:t xml:space="preserve">Protect reserve; avoid premature liquidity spend.</x:t>
        </x:is>
      </x:c>
      <x:c r="K21" s="21" t="inlineStr">
        <x:is>
          <x:t xml:space="preserve">Protect reserve; avoid premature liquidity spend.</x:t>
        </x:is>
      </x:c>
      <x:c r="L21" s="21" t="inlineStr">
        <x:is>
          <x:t xml:space="preserve">Spend after legal/product/buyer gates.</x:t>
        </x:is>
      </x:c>
      <x:c r="M21" s="21" t="inlineStr">
        <x:is>
          <x:t xml:space="preserve">Spend after legal/product/buyer gates.</x:t>
        </x:is>
      </x:c>
      <x:c r="N21" s="21" t="inlineStr">
        <x:is>
          <x:t xml:space="preserve">Spend after legal/product/buyer gates.</x:t>
        </x:is>
      </x:c>
      <x:c r="O21" s="21" t="inlineStr">
        <x:is>
          <x:t xml:space="preserve">Spend after legal/product/buyer gates.</x:t>
        </x:is>
      </x:c>
      <x:c r="P21" s="21" t="inlineStr">
        <x:is>
          <x:t xml:space="preserve">Spend after legal/product/buyer gates.</x:t>
        </x:is>
      </x:c>
      <x:c r="Q21" s="21" t="inlineStr">
        <x:is>
          <x:t xml:space="preserve">Spend after legal/product/buyer gates.</x:t>
        </x:is>
      </x:c>
      <x:c r="R21" s="21" t="inlineStr">
        <x:is>
          <x:t xml:space="preserve">Spend after legal/product/buyer gates.</x:t>
        </x:is>
      </x:c>
      <x:c r="S21" s="21" t="inlineStr">
        <x:is>
          <x:t xml:space="preserve">Spend after legal/product/buyer gates.</x:t>
        </x:is>
      </x:c>
      <x:c r="T21" s="21" t="inlineStr">
        <x:is>
          <x:t xml:space="preserve">Spend after legal/product/buyer gates.</x:t>
        </x:is>
      </x:c>
      <x:c r="U21" s="21" t="inlineStr">
        <x:is>
          <x:t xml:space="preserve">Prepare seed evidence and cash discipline.</x:t>
        </x:is>
      </x:c>
      <x:c r="V21" s="21" t="inlineStr">
        <x:is>
          <x:t xml:space="preserve">Prepare seed evidence and cash discipline.</x:t>
        </x:is>
      </x:c>
      <x:c r="W21" s="21" t="inlineStr">
        <x:is>
          <x:t xml:space="preserve">Prepare seed evidence and cash discipline.</x:t>
        </x:is>
      </x:c>
      <x:c r="X21" s="21" t="inlineStr">
        <x:is>
          <x:t xml:space="preserve">Prepare seed evidence and cash discipline.</x:t>
        </x:is>
      </x:c>
      <x:c r="Y21" s="21" t="inlineStr">
        <x:is>
          <x:t xml:space="preserve">Prepare seed evidence and cash discipline.</x:t>
        </x:is>
      </x:c>
      <x:c r="Z21" s="22" t="inlineStr">
        <x:is>
          <x:t xml:space="preserve">Prepare seed evidence and cash discipline.</x:t>
        </x:is>
      </x:c>
    </x:row>
    <x:row r="22" s="4" customFormat="1" ht="15" customHeight="1">
      <x:c r="B22" s="9" t="str"/>
      <x:c r="C22" s="23" t="n"/>
      <x:c r="D22" s="24" t="n"/>
      <x:c r="E22" s="24" t="n"/>
      <x:c r="F22" s="24" t="n"/>
      <x:c r="G22" s="24" t="n"/>
      <x:c r="H22" s="24" t="n"/>
      <x:c r="I22" s="24" t="n"/>
      <x:c r="J22" s="24" t="n"/>
      <x:c r="K22" s="24" t="n"/>
      <x:c r="L22" s="24" t="n"/>
      <x:c r="M22" s="24" t="n"/>
      <x:c r="N22" s="24" t="n"/>
      <x:c r="O22" s="24" t="n"/>
      <x:c r="P22" s="24" t="n"/>
      <x:c r="Q22" s="24" t="n"/>
      <x:c r="R22" s="24" t="n"/>
      <x:c r="S22" s="24" t="n"/>
      <x:c r="T22" s="24" t="n"/>
      <x:c r="U22" s="24" t="n"/>
      <x:c r="V22" s="24" t="n"/>
      <x:c r="W22" s="24" t="n"/>
      <x:c r="X22" s="24" t="n"/>
      <x:c r="Y22" s="24" t="n"/>
      <x:c r="Z22" s="25" t="n"/>
    </x:row>
  </x:sheetData>
  <x:mergeCells>
    <x:mergeCell ref="C3:Z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55.11000061035156" style="4" customWidth="1"/>
    <x:col min="4" max="4" width="46.439998626708984" style="4" customWidth="1"/>
    <x:col min="5" max="5" width="42.88999938964844" style="4" customWidth="1"/>
    <x:col min="6" max="6" width="16.889999389648438" style="4" customWidth="1"/>
    <x:col min="7" max="7" width="12.779999732971191" style="4" customWidth="1"/>
  </x:cols>
  <x:sheetData>
    <x:row r="1"/>
    <x:row r="2" s="4" customFormat="1" ht="19.200000762939453" customHeight="1">
      <x:c r="C2" s="2" t="inlineStr">
        <x:is>
          <x:t xml:space="preserve">Milestone Gates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Release spend when evidence exists. This is how the US$2M avoids looking loose.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Gate</x:t>
        </x:is>
      </x:c>
      <x:c r="D7" s="13" t="inlineStr">
        <x:is>
          <x:t xml:space="preserve">Before releasing</x:t>
        </x:is>
      </x:c>
      <x:c r="E7" s="13" t="inlineStr">
        <x:is>
          <x:t xml:space="preserve">Evidence</x:t>
        </x:is>
      </x:c>
      <x:c r="F7" s="13" t="inlineStr">
        <x:is>
          <x:t xml:space="preserve">Related spend</x:t>
        </x:is>
      </x:c>
      <x:c r="G7" s="13" t="inlineStr">
        <x:is>
          <x:t xml:space="preserve">Owner to confirm</x:t>
        </x:is>
      </x:c>
    </x:row>
    <x:row r="8" s="4" customFormat="1" ht="15" customHeight="1">
      <x:c r="C8" s="17" t="inlineStr">
        <x:is>
          <x:t xml:space="preserve">Marketplace front</x:t>
        </x:is>
      </x:c>
      <x:c r="D8" s="18" t="inlineStr">
        <x:is>
          <x:t xml:space="preserve">Public discovery pages go live only with disclosure rules.</x:t>
        </x:is>
      </x:c>
      <x:c r="E8" s="18" t="inlineStr">
        <x:is>
          <x:t xml:space="preserve">Screenshots, access controls, restriction language.</x:t>
        </x:is>
      </x:c>
      <x:c r="F8" s="18" t="inlineStr">
        <x:is>
          <x:t xml:space="preserve">Technology / legal</x:t>
        </x:is>
      </x:c>
      <x:c r="G8" s="19" t="inlineStr">
        <x:is>
          <x:t xml:space="preserve">Founder / counsel</x:t>
        </x:is>
      </x:c>
    </x:row>
    <x:row r="9" s="4" customFormat="1" ht="15" customHeight="1">
      <x:c r="C9" s="20" t="inlineStr">
        <x:is>
          <x:t xml:space="preserve">Buyer activation</x:t>
        </x:is>
      </x:c>
      <x:c r="D9" s="21" t="inlineStr">
        <x:is>
          <x:t xml:space="preserve">Outreach starts with qualified segments and CRM tracking.</x:t>
        </x:is>
      </x:c>
      <x:c r="E9" s="21" t="inlineStr">
        <x:is>
          <x:t xml:space="preserve">Buyer list, outreach log, response metrics.</x:t>
        </x:is>
      </x:c>
      <x:c r="F9" s="21" t="inlineStr">
        <x:is>
          <x:t xml:space="preserve">Market-development hub</x:t>
        </x:is>
      </x:c>
      <x:c r="G9" s="22" t="inlineStr">
        <x:is>
          <x:t xml:space="preserve">Founder</x:t>
        </x:is>
      </x:c>
    </x:row>
    <x:row r="10" s="4" customFormat="1" ht="15" customHeight="1">
      <x:c r="C10" s="20" t="inlineStr">
        <x:is>
          <x:t xml:space="preserve">Liquidity readiness</x:t>
        </x:is>
      </x:c>
      <x:c r="D10" s="21" t="inlineStr">
        <x:is>
          <x:t xml:space="preserve">No MM/venue spend before product, wallet and counsel gates.</x:t>
        </x:is>
      </x:c>
      <x:c r="E10" s="21" t="inlineStr">
        <x:is>
          <x:t xml:space="preserve">MM policy, wallet report, legal memo.</x:t>
        </x:is>
      </x:c>
      <x:c r="F10" s="21" t="inlineStr">
        <x:is>
          <x:t xml:space="preserve">Liquidity/MM readiness</x:t>
        </x:is>
      </x:c>
      <x:c r="G10" s="22" t="inlineStr">
        <x:is>
          <x:t xml:space="preserve">Founder / counsel</x:t>
        </x:is>
      </x:c>
    </x:row>
    <x:row r="11" s="4" customFormat="1" ht="15" customHeight="1">
      <x:c r="C11" s="20" t="inlineStr">
        <x:is>
          <x:t xml:space="preserve">Token incentives</x:t>
        </x:is>
      </x:c>
      <x:c r="D11" s="21" t="inlineStr">
        <x:is>
          <x:t xml:space="preserve">No launch before objective covenant and audit readiness.</x:t>
        </x:is>
      </x:c>
      <x:c r="E11" s="21" t="inlineStr">
        <x:is>
          <x:t xml:space="preserve">Covenant, audit, wallet policy, incentive rules.</x:t>
        </x:is>
      </x:c>
      <x:c r="F11" s="21" t="inlineStr">
        <x:is>
          <x:t xml:space="preserve">Token engineering</x:t>
        </x:is>
      </x:c>
      <x:c r="G11" s="22" t="inlineStr">
        <x:is>
          <x:t xml:space="preserve">Founder / counsel</x:t>
        </x:is>
      </x:c>
    </x:row>
    <x:row r="12" s="4" customFormat="1" ht="15" customHeight="1">
      <x:c r="C12" s="20" t="inlineStr">
        <x:is>
          <x:t xml:space="preserve">Provider routing</x:t>
        </x:is>
      </x:c>
      <x:c r="D12" s="21" t="inlineStr">
        <x:is>
          <x:t xml:space="preserve">Providers categorized by function and jurisdiction.</x:t>
        </x:is>
      </x:c>
      <x:c r="E12" s="21" t="inlineStr">
        <x:is>
          <x:t xml:space="preserve">Provider matrix, LOIs/MOUs, constraints.</x:t>
        </x:is>
      </x:c>
      <x:c r="F12" s="21" t="inlineStr">
        <x:is>
          <x:t xml:space="preserve">Legal / hub</x:t>
        </x:is>
      </x:c>
      <x:c r="G12" s="22" t="inlineStr">
        <x:is>
          <x:t xml:space="preserve">Founder</x:t>
        </x:is>
      </x:c>
    </x:row>
    <x:row r="13" s="4" customFormat="1" ht="15" customHeight="1">
      <x:c r="C13" s="20" t="inlineStr">
        <x:is>
          <x:t xml:space="preserve">Seed valuation</x:t>
        </x:is>
      </x:c>
      <x:c r="D13" s="21" t="inlineStr">
        <x:is>
          <x:t xml:space="preserve">US$20M+ only after evidence, not before.</x:t>
        </x:is>
      </x:c>
      <x:c r="E13" s="21" t="inlineStr">
        <x:is>
          <x:t xml:space="preserve">KPI dashboard, revenue quality, pipeline, buyer response.</x:t>
        </x:is>
      </x:c>
      <x:c r="F13" s="21" t="inlineStr">
        <x:is>
          <x:t xml:space="preserve">Seed process</x:t>
        </x:is>
      </x:c>
      <x:c r="G13" s="22" t="inlineStr">
        <x:is>
          <x:t xml:space="preserve">Founder / board</x:t>
        </x:is>
      </x:c>
    </x:row>
    <x:row r="14" s="4" customFormat="1" ht="15" customHeight="1">
      <x:c r="C14" s="20" t="inlineStr">
        <x:is>
          <x:t xml:space="preserve">Security</x:t>
        </x:is>
      </x:c>
      <x:c r="D14" s="21" t="inlineStr">
        <x:is>
          <x:t xml:space="preserve">Investor access moves beyond client-side password for sensitive files.</x:t>
        </x:is>
      </x:c>
      <x:c r="E14" s="21" t="inlineStr">
        <x:is>
          <x:t xml:space="preserve">Server auth, logs, expiring links or controlled data-room provider.</x:t>
        </x:is>
      </x:c>
      <x:c r="F14" s="21" t="inlineStr">
        <x:is>
          <x:t xml:space="preserve">Infrastructure/tools</x:t>
        </x:is>
      </x:c>
      <x:c r="G14" s="22" t="inlineStr">
        <x:is>
          <x:t xml:space="preserve">Platform owner</x:t>
        </x:is>
      </x:c>
    </x:row>
    <x:row r="15" s="4" customFormat="1" ht="15" customHeight="1">
      <x:c r="C15" s="23" t="inlineStr">
        <x:is>
          <x:t xml:space="preserve">Reserve</x:t>
        </x:is>
      </x:c>
      <x:c r="D15" s="24" t="inlineStr">
        <x:is>
          <x:t xml:space="preserve">Reserve cannot be used to mask recurring overspend.</x:t>
        </x:is>
      </x:c>
      <x:c r="E15" s="24" t="inlineStr">
        <x:is>
          <x:t xml:space="preserve">Monthly cash report and board approval.</x:t>
        </x:is>
      </x:c>
      <x:c r="F15" s="24" t="inlineStr">
        <x:is>
          <x:t xml:space="preserve">Reserve</x:t>
        </x:is>
      </x:c>
      <x:c r="G15" s="25" t="inlineStr">
        <x:is>
          <x:t xml:space="preserve">Founder / board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55.11000061035156" style="4" customWidth="1"/>
    <x:col min="4" max="4" width="30.670000076293945" style="4" customWidth="1"/>
    <x:col min="5" max="5" width="34.560001373291016" style="4" customWidth="1"/>
    <x:col min="6" max="6" width="27.440000534057617" style="4" customWidth="1"/>
    <x:col min="7" max="7" width="17.440000534057617" style="4" customWidth="1"/>
    <x:col min="8" max="8" width="28.780000686645508" style="4" customWidth="1"/>
  </x:cols>
  <x:sheetData>
    <x:row r="1"/>
    <x:row r="2" s="4" customFormat="1" ht="19.200000762939453" customHeight="1">
      <x:c r="C2" s="2" t="inlineStr">
        <x:is>
          <x:t xml:space="preserve">GTM and Pricing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Initial commercial wedge focused on paid readiness, workflow and buyer activation.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Motion</x:t>
        </x:is>
      </x:c>
      <x:c r="D7" s="13" t="inlineStr">
        <x:is>
          <x:t xml:space="preserve">Target</x:t>
        </x:is>
      </x:c>
      <x:c r="E7" s="13" t="inlineStr">
        <x:is>
          <x:t xml:space="preserve">Offer</x:t>
        </x:is>
      </x:c>
      <x:c r="F7" s="13" t="inlineStr">
        <x:is>
          <x:t xml:space="preserve">Pricing test</x:t>
        </x:is>
      </x:c>
      <x:c r="G7" s="13" t="inlineStr">
        <x:is>
          <x:t xml:space="preserve">Metric</x:t>
        </x:is>
      </x:c>
      <x:c r="H7" s="13" t="inlineStr">
        <x:is>
          <x:t xml:space="preserve">Risk</x:t>
        </x:is>
      </x:c>
    </x:row>
    <x:row r="8" s="4" customFormat="1" ht="15" customHeight="1">
      <x:c r="C8" s="17" t="inlineStr">
        <x:is>
          <x:t xml:space="preserve">Supply sourcing</x:t>
        </x:is>
      </x:c>
      <x:c r="D8" s="18" t="inlineStr">
        <x:is>
          <x:t xml:space="preserve">Originators, asset sponsors, financial institutions, tokenizers</x:t>
        </x:is>
      </x:c>
      <x:c r="E8" s="18" t="inlineStr">
        <x:is>
          <x:t xml:space="preserve">Readiness sprint and controlled marketplace profile.</x:t>
        </x:is>
      </x:c>
      <x:c r="F8" s="18" t="inlineStr">
        <x:is>
          <x:t xml:space="preserve">$5k-$25k per sprint</x:t>
        </x:is>
      </x:c>
      <x:c r="G8" s="18" t="inlineStr">
        <x:is>
          <x:t xml:space="preserve">Qualified opportunities</x:t>
        </x:is>
      </x:c>
      <x:c r="H8" s="19" t="inlineStr">
        <x:is>
          <x:t xml:space="preserve">Can become advisory unless standardized.</x:t>
        </x:is>
      </x:c>
    </x:row>
    <x:row r="9" s="4" customFormat="1" ht="15" customHeight="1">
      <x:c r="C9" s="20" t="inlineStr">
        <x:is>
          <x:t xml:space="preserve">Buyer activation</x:t>
        </x:is>
      </x:c>
      <x:c r="D9" s="21" t="inlineStr">
        <x:is>
          <x:t xml:space="preserve">Funds, banks, brokers, family offices</x:t>
        </x:is>
      </x:c>
      <x:c r="E9" s="21" t="inlineStr">
        <x:is>
          <x:t xml:space="preserve">Qualified routing and response tracking.</x:t>
        </x:is>
      </x:c>
      <x:c r="F9" s="21" t="inlineStr">
        <x:is>
          <x:t xml:space="preserve">Service/success fee where approved</x:t>
        </x:is>
      </x:c>
      <x:c r="G9" s="21" t="inlineStr">
        <x:is>
          <x:t xml:space="preserve">Response rate / meetings</x:t>
        </x:is>
      </x:c>
      <x:c r="H9" s="22" t="inlineStr">
        <x:is>
          <x:t xml:space="preserve">Regulatory perimeter.</x:t>
        </x:is>
      </x:c>
    </x:row>
    <x:row r="10" s="4" customFormat="1" ht="15" customHeight="1">
      <x:c r="C10" s="20" t="inlineStr">
        <x:is>
          <x:t xml:space="preserve">Workflow reporting</x:t>
        </x:is>
      </x:c>
      <x:c r="D10" s="21" t="inlineStr">
        <x:is>
          <x:t xml:space="preserve">Issuers and providers</x:t>
        </x:is>
      </x:c>
      <x:c r="E10" s="21" t="inlineStr">
        <x:is>
          <x:t xml:space="preserve">Reporting, evidence pack and participant workflow.</x:t>
        </x:is>
      </x:c>
      <x:c r="F10" s="21" t="inlineStr">
        <x:is>
          <x:t xml:space="preserve">$2k-$10k/month</x:t>
        </x:is>
      </x:c>
      <x:c r="G10" s="21" t="inlineStr">
        <x:is>
          <x:t xml:space="preserve">Recurring revenue</x:t>
        </x:is>
      </x:c>
      <x:c r="H10" s="22" t="inlineStr">
        <x:is>
          <x:t xml:space="preserve">Needs repeat use.</x:t>
        </x:is>
      </x:c>
    </x:row>
    <x:row r="11" s="4" customFormat="1" ht="15" customHeight="1">
      <x:c r="C11" s="20" t="inlineStr">
        <x:is>
          <x:t xml:space="preserve">Provider routing</x:t>
        </x:is>
      </x:c>
      <x:c r="D11" s="21" t="inlineStr">
        <x:is>
          <x:t xml:space="preserve">KYC, custody, legal, tokenization, MM/venue</x:t>
        </x:is>
      </x:c>
      <x:c r="E11" s="21" t="inlineStr">
        <x:is>
          <x:t xml:space="preserve">Integration and role mapping.</x:t>
        </x:is>
      </x:c>
      <x:c r="F11" s="21" t="inlineStr">
        <x:is>
          <x:t xml:space="preserve">Workflow/integration fee where approved</x:t>
        </x:is>
      </x:c>
      <x:c r="G11" s="21" t="inlineStr">
        <x:is>
          <x:t xml:space="preserve">Provider status</x:t>
        </x:is>
      </x:c>
      <x:c r="H11" s="22" t="inlineStr">
        <x:is>
          <x:t xml:space="preserve">Avoid referral conflicts.</x:t>
        </x:is>
      </x:c>
    </x:row>
    <x:row r="12" s="4" customFormat="1" ht="15" customHeight="1">
      <x:c r="C12" s="20" t="inlineStr">
        <x:is>
          <x:t xml:space="preserve">Marketplace access</x:t>
        </x:is>
      </x:c>
      <x:c r="D12" s="21" t="inlineStr">
        <x:is>
          <x:t xml:space="preserve">Qualified participants</x:t>
        </x:is>
      </x:c>
      <x:c r="E12" s="21" t="inlineStr">
        <x:is>
          <x:t xml:space="preserve">Controlled discovery and data access.</x:t>
        </x:is>
      </x:c>
      <x:c r="F12" s="21" t="inlineStr">
        <x:is>
          <x:t xml:space="preserve">Profile/API/reporting fee</x:t>
        </x:is>
      </x:c>
      <x:c r="G12" s="21" t="inlineStr">
        <x:is>
          <x:t xml:space="preserve">Qualified access requests</x:t>
        </x:is>
      </x:c>
      <x:c r="H12" s="22" t="inlineStr">
        <x:is>
          <x:t xml:space="preserve">Do not imply public securities offer.</x:t>
        </x:is>
      </x:c>
    </x:row>
    <x:row r="13" s="4" customFormat="1" ht="15" customHeight="1">
      <x:c r="C13" s="23" t="inlineStr">
        <x:is>
          <x:t xml:space="preserve">Developer/AI ecosystem</x:t>
        </x:is>
      </x:c>
      <x:c r="D13" s="24" t="inlineStr">
        <x:is>
          <x:t xml:space="preserve">Builders and agent developers</x:t>
        </x:is>
      </x:c>
      <x:c r="E13" s="24" t="inlineStr">
        <x:is>
          <x:t xml:space="preserve">Contribution incentives.</x:t>
        </x:is>
      </x:c>
      <x:c r="F13" s="24" t="inlineStr">
        <x:is>
          <x:t xml:space="preserve">No revenue base case</x:t>
        </x:is>
      </x:c>
      <x:c r="G13" s="24" t="inlineStr">
        <x:is>
          <x:t xml:space="preserve">Accepted builds / usage</x:t>
        </x:is>
      </x:c>
      <x:c r="H13" s="25" t="inlineStr">
        <x:is>
          <x:t xml:space="preserve">Token distraction.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50.220001220703125" style="4" customWidth="1"/>
    <x:col min="4" max="4" width="10.670000076293945" style="4" customWidth="1"/>
    <x:col min="5" max="5" width="51.66999816894531" style="4" customWidth="1"/>
    <x:col min="6" max="6" width="5.78000020980835" style="4" customWidth="1"/>
    <x:col min="7" max="7" width="10.4399995803833" style="4" customWidth="1"/>
    <x:col min="8" max="8" width="23.889999389648438" style="4" customWidth="1"/>
  </x:cols>
  <x:sheetData>
    <x:row r="1"/>
    <x:row r="2" s="4" customFormat="1" ht="19.200000762939453" customHeight="1">
      <x:c r="C2" s="2" t="inlineStr">
        <x:is>
          <x:t xml:space="preserve">Evidence Map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Claim-by-claim diligence map. Fill owner/status as proof becomes available.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Claim</x:t>
        </x:is>
      </x:c>
      <x:c r="D7" s="13" t="inlineStr">
        <x:is>
          <x:t xml:space="preserve">Current status</x:t>
        </x:is>
      </x:c>
      <x:c r="E7" s="13" t="inlineStr">
        <x:is>
          <x:t xml:space="preserve">Required proof</x:t>
        </x:is>
      </x:c>
      <x:c r="F7" s="13" t="inlineStr">
        <x:is>
          <x:t xml:space="preserve">Priority</x:t>
        </x:is>
      </x:c>
      <x:c r="G7" s="13" t="inlineStr">
        <x:is>
          <x:t xml:space="preserve">Owner</x:t>
        </x:is>
      </x:c>
      <x:c r="H7" s="13" t="inlineStr">
        <x:is>
          <x:t xml:space="preserve">Notes</x:t>
        </x:is>
      </x:c>
    </x:row>
    <x:row r="8" s="4" customFormat="1" ht="15" customHeight="1">
      <x:c r="C8" s="17" t="inlineStr">
        <x:is>
          <x:t xml:space="preserve">Execution proof</x:t>
        </x:is>
      </x:c>
      <x:c r="D8" s="18" t="inlineStr">
        <x:is>
          <x:t xml:space="preserve">Summarized</x:t>
        </x:is>
      </x:c>
      <x:c r="E8" s="18" t="inlineStr">
        <x:is>
          <x:t xml:space="preserve">GMV ledger, invoices, CRM export, AI workflow usage.</x:t>
        </x:is>
      </x:c>
      <x:c r="F8" s="18" t="inlineStr">
        <x:is>
          <x:t xml:space="preserve">High</x:t>
        </x:is>
      </x:c>
      <x:c r="G8" s="18" t="inlineStr">
        <x:is>
          <x:t xml:space="preserve">Founder</x:t>
        </x:is>
      </x:c>
      <x:c r="H8" s="19" t="inlineStr">
        <x:is>
          <x:t xml:space="preserve">Use redacted source files.</x:t>
        </x:is>
      </x:c>
    </x:row>
    <x:row r="9" s="4" customFormat="1" ht="15" customHeight="1">
      <x:c r="C9" s="20" t="inlineStr">
        <x:is>
          <x:t xml:space="preserve">Opportunity supply</x:t>
        </x:is>
      </x:c>
      <x:c r="D9" s="21" t="inlineStr">
        <x:is>
          <x:t xml:space="preserve">Defined</x:t>
        </x:is>
      </x:c>
      <x:c r="E9" s="21" t="inlineStr">
        <x:is>
          <x:t xml:space="preserve">Pipeline with asset type, owner, mandate, jurisdiction, readiness.</x:t>
        </x:is>
      </x:c>
      <x:c r="F9" s="21" t="inlineStr">
        <x:is>
          <x:t xml:space="preserve">High</x:t>
        </x:is>
      </x:c>
      <x:c r="G9" s="21" t="inlineStr">
        <x:is>
          <x:t xml:space="preserve">Founder</x:t>
        </x:is>
      </x:c>
      <x:c r="H9" s="22" t="inlineStr">
        <x:is>
          <x:t xml:space="preserve">Do not overclaim approved supply.</x:t>
        </x:is>
      </x:c>
    </x:row>
    <x:row r="10" s="4" customFormat="1" ht="15" customHeight="1">
      <x:c r="C10" s="20" t="inlineStr">
        <x:is>
          <x:t xml:space="preserve">Buyer activation</x:t>
        </x:is>
      </x:c>
      <x:c r="D10" s="21" t="inlineStr">
        <x:is>
          <x:t xml:space="preserve">Defined</x:t>
        </x:is>
      </x:c>
      <x:c r="E10" s="21" t="inlineStr">
        <x:is>
          <x:t xml:space="preserve">Buyer funnel: contacted, responded, meeting, diligence, declined.</x:t>
        </x:is>
      </x:c>
      <x:c r="F10" s="21" t="inlineStr">
        <x:is>
          <x:t xml:space="preserve">High</x:t>
        </x:is>
      </x:c>
      <x:c r="G10" s="21" t="inlineStr">
        <x:is>
          <x:t xml:space="preserve">Founder</x:t>
        </x:is>
      </x:c>
      <x:c r="H10" s="22" t="inlineStr">
        <x:is>
          <x:t xml:space="preserve">This is central to the thesis.</x:t>
        </x:is>
      </x:c>
    </x:row>
    <x:row r="11" s="4" customFormat="1" ht="15" customHeight="1">
      <x:c r="C11" s="20" t="inlineStr">
        <x:is>
          <x:t xml:space="preserve">Provider coverage</x:t>
        </x:is>
      </x:c>
      <x:c r="D11" s="21" t="inlineStr">
        <x:is>
          <x:t xml:space="preserve">Defined</x:t>
        </x:is>
      </x:c>
      <x:c r="E11" s="21" t="inlineStr">
        <x:is>
          <x:t xml:space="preserve">Provider matrix by function, status and jurisdiction.</x:t>
        </x:is>
      </x:c>
      <x:c r="F11" s="21" t="inlineStr">
        <x:is>
          <x:t xml:space="preserve">High</x:t>
        </x:is>
      </x:c>
      <x:c r="G11" s="21" t="inlineStr">
        <x:is>
          <x:t xml:space="preserve">Founder</x:t>
        </x:is>
      </x:c>
      <x:c r="H11" s="22" t="inlineStr">
        <x:is>
          <x:t xml:space="preserve">Needed to prove neutrality.</x:t>
        </x:is>
      </x:c>
    </x:row>
    <x:row r="12" s="4" customFormat="1" ht="15" customHeight="1">
      <x:c r="C12" s="20" t="inlineStr">
        <x:is>
          <x:t xml:space="preserve">Legal perimeter</x:t>
        </x:is>
      </x:c>
      <x:c r="D12" s="21" t="inlineStr">
        <x:is>
          <x:t xml:space="preserve">Needed</x:t>
        </x:is>
      </x:c>
      <x:c r="E12" s="21" t="inlineStr">
        <x:is>
          <x:t xml:space="preserve">Counsel memo for marketplace, token, RWA access and UK communications.</x:t>
        </x:is>
      </x:c>
      <x:c r="F12" s="21" t="inlineStr">
        <x:is>
          <x:t xml:space="preserve">High</x:t>
        </x:is>
      </x:c>
      <x:c r="G12" s="21" t="inlineStr">
        <x:is>
          <x:t xml:space="preserve">Counsel</x:t>
        </x:is>
      </x:c>
      <x:c r="H12" s="22" t="inlineStr">
        <x:is>
          <x:t xml:space="preserve">Critical before broad sharing.</x:t>
        </x:is>
      </x:c>
    </x:row>
    <x:row r="13" s="4" customFormat="1" ht="15" customHeight="1">
      <x:c r="C13" s="20" t="inlineStr">
        <x:is>
          <x:t xml:space="preserve">Product build</x:t>
        </x:is>
      </x:c>
      <x:c r="D13" s="21" t="inlineStr">
        <x:is>
          <x:t xml:space="preserve">Scoped</x:t>
        </x:is>
      </x:c>
      <x:c r="E13" s="21" t="inlineStr">
        <x:is>
          <x:t xml:space="preserve">Architecture, screenshots, release notes and usage logs.</x:t>
        </x:is>
      </x:c>
      <x:c r="F13" s="21" t="inlineStr">
        <x:is>
          <x:t xml:space="preserve">High</x:t>
        </x:is>
      </x:c>
      <x:c r="G13" s="21" t="inlineStr">
        <x:is>
          <x:t xml:space="preserve">Platform owner</x:t>
        </x:is>
      </x:c>
      <x:c r="H13" s="22" t="inlineStr">
        <x:is>
          <x:t xml:space="preserve">Needed for tech budget credibility.</x:t>
        </x:is>
      </x:c>
    </x:row>
    <x:row r="14" s="4" customFormat="1" ht="15" customHeight="1">
      <x:c r="C14" s="20" t="inlineStr">
        <x:is>
          <x:t xml:space="preserve">Financial discipline</x:t>
        </x:is>
      </x:c>
      <x:c r="D14" s="21" t="inlineStr">
        <x:is>
          <x:t xml:space="preserve">Modelled</x:t>
        </x:is>
      </x:c>
      <x:c r="E14" s="21" t="inlineStr">
        <x:is>
          <x:t xml:space="preserve">Monthly burn report after close.</x:t>
        </x:is>
      </x:c>
      <x:c r="F14" s="21" t="inlineStr">
        <x:is>
          <x:t xml:space="preserve">Medium</x:t>
        </x:is>
      </x:c>
      <x:c r="G14" s="21" t="inlineStr">
        <x:is>
          <x:t xml:space="preserve">Founder</x:t>
        </x:is>
      </x:c>
      <x:c r="H14" s="22" t="inlineStr">
        <x:is>
          <x:t xml:space="preserve">Tie spend to gates.</x:t>
        </x:is>
      </x:c>
    </x:row>
    <x:row r="15" s="4" customFormat="1" ht="15" customHeight="1">
      <x:c r="C15" s="20" t="inlineStr">
        <x:is>
          <x:t xml:space="preserve">Token governance</x:t>
        </x:is>
      </x:c>
      <x:c r="D15" s="21" t="inlineStr">
        <x:is>
          <x:t xml:space="preserve">Drafted</x:t>
        </x:is>
      </x:c>
      <x:c r="E15" s="21" t="inlineStr">
        <x:is>
          <x:t xml:space="preserve">Objective covenant, wallet policy and audit readiness.</x:t>
        </x:is>
      </x:c>
      <x:c r="F15" s="21" t="inlineStr">
        <x:is>
          <x:t xml:space="preserve">Medium</x:t>
        </x:is>
      </x:c>
      <x:c r="G15" s="21" t="inlineStr">
        <x:is>
          <x:t xml:space="preserve">Counsel</x:t>
        </x:is>
      </x:c>
      <x:c r="H15" s="22" t="inlineStr">
        <x:is>
          <x:t xml:space="preserve">Keep subordinate.</x:t>
        </x:is>
      </x:c>
    </x:row>
    <x:row r="16" s="4" customFormat="1" ht="15" customHeight="1">
      <x:c r="C16" s="20" t="inlineStr">
        <x:is>
          <x:t xml:space="preserve">Security</x:t>
        </x:is>
      </x:c>
      <x:c r="D16" s="21" t="inlineStr">
        <x:is>
          <x:t xml:space="preserve">Demo-level</x:t>
        </x:is>
      </x:c>
      <x:c r="E16" s="21" t="inlineStr">
        <x:is>
          <x:t xml:space="preserve">Server-side data-room access with logs/expiry.</x:t>
        </x:is>
      </x:c>
      <x:c r="F16" s="21" t="inlineStr">
        <x:is>
          <x:t xml:space="preserve">Medium</x:t>
        </x:is>
      </x:c>
      <x:c r="G16" s="21" t="inlineStr">
        <x:is>
          <x:t xml:space="preserve">Platform owner</x:t>
        </x:is>
      </x:c>
      <x:c r="H16" s="22" t="inlineStr">
        <x:is>
          <x:t xml:space="preserve">Client-side login is not final security.</x:t>
        </x:is>
      </x:c>
    </x:row>
    <x:row r="17" s="4" customFormat="1" ht="15" customHeight="1">
      <x:c r="C17" s="23" t="inlineStr">
        <x:is>
          <x:t xml:space="preserve">Competitive position</x:t>
        </x:is>
      </x:c>
      <x:c r="D17" s="24" t="inlineStr">
        <x:is>
          <x:t xml:space="preserve">Drafted</x:t>
        </x:is>
      </x:c>
      <x:c r="E17" s="24" t="inlineStr">
        <x:is>
          <x:t xml:space="preserve">Updated competitor source appendix.</x:t>
        </x:is>
      </x:c>
      <x:c r="F17" s="24" t="inlineStr">
        <x:is>
          <x:t xml:space="preserve">Medium</x:t>
        </x:is>
      </x:c>
      <x:c r="G17" s="24" t="inlineStr">
        <x:is>
          <x:t xml:space="preserve">Founder</x:t>
        </x:is>
      </x:c>
      <x:c r="H17" s="25" t="inlineStr">
        <x:is>
          <x:t xml:space="preserve">Keep factual and dated.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44" style="4" customWidth="1"/>
    <x:col min="4" max="4" width="11.670000076293945" style="4" customWidth="1"/>
    <x:col min="5" max="5" width="9.5600004196167" style="4" customWidth="1"/>
    <x:col min="6" max="6" width="5" style="4" customWidth="1"/>
  </x:cols>
  <x:sheetData>
    <x:row r="1"/>
    <x:row r="2" s="4" customFormat="1" ht="19.200000762939453" customHeight="1">
      <x:c r="C2" s="2" t="inlineStr">
        <x:is>
          <x:t xml:space="preserve">Checks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Formula checks for totals, runway and investor-facing consistency.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Check</x:t>
        </x:is>
      </x:c>
      <x:c r="D7" s="13" t="inlineStr">
        <x:is>
          <x:t xml:space="preserve">Formula value</x:t>
        </x:is>
      </x:c>
      <x:c r="E7" s="13" t="inlineStr">
        <x:is>
          <x:t xml:space="preserve">Expected</x:t>
        </x:is>
      </x:c>
      <x:c r="F7" s="13" t="inlineStr">
        <x:is>
          <x:t xml:space="preserve">Status</x:t>
        </x:is>
      </x:c>
    </x:row>
    <x:row r="8" s="4" customFormat="1" ht="15" customHeight="1">
      <x:c r="C8" s="17" t="inlineStr">
        <x:is>
          <x:t xml:space="preserve">Base case total</x:t>
        </x:is>
      </x:c>
      <x:c r="D8" s="49" t="n">
        <x:f>'Use of Funds'!D18</x:f>
        <x:v>2000000</x:v>
      </x:c>
      <x:c r="E8" s="49" t="n">
        <x:v>2000000</x:v>
      </x:c>
      <x:c r="F8" s="19" t="str">
        <x:f>IF(D8=E8,"OK","Review")</x:f>
        <x:v>OK</x:v>
      </x:c>
    </x:row>
    <x:row r="9" s="4" customFormat="1" ht="15" customHeight="1">
      <x:c r="C9" s="20" t="inlineStr">
        <x:is>
          <x:t xml:space="preserve">Full-tech total</x:t>
        </x:is>
      </x:c>
      <x:c r="D9" s="50" t="n">
        <x:f>'Use of Funds'!F18</x:f>
        <x:v>2000000</x:v>
      </x:c>
      <x:c r="E9" s="50" t="n">
        <x:v>2000000</x:v>
      </x:c>
      <x:c r="F9" s="22" t="str">
        <x:f>IF(D9=E9,"OK","Review")</x:f>
        <x:v>OK</x:v>
      </x:c>
    </x:row>
    <x:row r="10" s="4" customFormat="1" ht="15" customHeight="1">
      <x:c r="C10" s="20" t="inlineStr">
        <x:is>
          <x:t xml:space="preserve">Founder 24M</x:t>
        </x:is>
      </x:c>
      <x:c r="D10" s="50" t="n">
        <x:f>'Assumptions'!D9*24</x:f>
        <x:v>168000</x:v>
      </x:c>
      <x:c r="E10" s="50" t="n">
        <x:v>168000</x:v>
      </x:c>
      <x:c r="F10" s="22" t="str">
        <x:f>IF(D10=E10,"OK","Review")</x:f>
        <x:v>OK</x:v>
      </x:c>
    </x:row>
    <x:row r="11" s="4" customFormat="1" ht="15" customHeight="1">
      <x:c r="C11" s="20" t="inlineStr">
        <x:is>
          <x:t xml:space="preserve">Admin 24M</x:t>
        </x:is>
      </x:c>
      <x:c r="D11" s="50" t="n">
        <x:f>'Assumptions'!D10*24</x:f>
        <x:v>240000</x:v>
      </x:c>
      <x:c r="E11" s="50" t="n">
        <x:v>240000</x:v>
      </x:c>
      <x:c r="F11" s="22" t="str">
        <x:f>IF(D11=E11,"OK","Review")</x:f>
        <x:v>OK</x:v>
      </x:c>
    </x:row>
    <x:row r="12" s="4" customFormat="1" ht="15" customHeight="1">
      <x:c r="C12" s="20" t="inlineStr">
        <x:is>
          <x:t xml:space="preserve">Month 24 ending cash</x:t>
        </x:is>
      </x:c>
      <x:c r="D12" s="50" t="n">
        <x:f>'Monthly Burn'!Z19</x:f>
        <x:v>147000</x:v>
      </x:c>
      <x:c r="E12" s="50" t="inlineStr">
        <x:is>
          <x:t xml:space="preserve">&gt;= 0</x:t>
        </x:is>
      </x:c>
      <x:c r="F12" s="22" t="str">
        <x:f>IF(D12&gt;=0,"OK","Review")</x:f>
        <x:v>OK</x:v>
      </x:c>
    </x:row>
    <x:row r="13" s="4" customFormat="1" ht="15" customHeight="1">
      <x:c r="C13" s="20" t="inlineStr">
        <x:is>
          <x:t xml:space="preserve">Base reserve</x:t>
        </x:is>
      </x:c>
      <x:c r="D13" s="50" t="n">
        <x:f>'Use of Funds'!D17</x:f>
        <x:v>147000</x:v>
      </x:c>
      <x:c r="E13" s="50" t="n">
        <x:v>147000</x:v>
      </x:c>
      <x:c r="F13" s="22" t="str">
        <x:f>IF(D13=E13,"OK","Review")</x:f>
        <x:v>OK</x:v>
      </x:c>
    </x:row>
    <x:row r="14" s="4" customFormat="1" ht="15" customHeight="1">
      <x:c r="C14" s="20" t="inlineStr">
        <x:is>
          <x:t xml:space="preserve">Technology range</x:t>
        </x:is>
      </x:c>
      <x:c r="D14" s="21" t="str">
        <x:f>'Use of Funds'!D8&amp;" / "&amp;'Use of Funds'!F8</x:f>
        <x:v>650000 / 750000</x:v>
      </x:c>
      <x:c r="E14" s="21" t="inlineStr">
        <x:is>
          <x:t xml:space="preserve">650k-750k</x:t>
        </x:is>
      </x:c>
      <x:c r="F14" s="22" t="str">
        <x:f>IF(AND('Use of Funds'!D8=650000,'Use of Funds'!F8=750000),"OK","Review")</x:f>
        <x:v>OK</x:v>
      </x:c>
    </x:row>
    <x:row r="15" s="4" customFormat="1" ht="15" customHeight="1">
      <x:c r="C15" s="23" t="inlineStr">
        <x:is>
          <x:t xml:space="preserve">Token spend below platform spend</x:t>
        </x:is>
      </x:c>
      <x:c r="D15" s="24" t="b">
        <x:f>'Use of Funds'!D12&lt;'Use of Funds'!D8</x:f>
        <x:v>1</x:v>
      </x:c>
      <x:c r="E15" s="24" t="inlineStr">
        <x:is>
          <x:t xml:space="preserve">TRUE</x:t>
        </x:is>
      </x:c>
      <x:c r="F15" s="25" t="str">
        <x:f>IF(D15=TRUE,"OK","Review")</x:f>
        <x:v>OK</x:v>
      </x:c>
    </x:row>
    <x:row r="17">
      <x:c r="C17" s="113" t="str">
        <x:v>Monthly burn total</x:v>
      </x:c>
      <x:c r="D17" s="114" t="n">
        <x:f>SUM('Monthly Burn'!C17:Z17)</x:f>
        <x:v>1853000</x:v>
      </x:c>
      <x:c r="E17" s="114" t="n">
        <x:v>1853000</x:v>
      </x:c>
      <x:c r="F17" s="113" t="str">
        <x:f>IF(D17=E17,"OK","Review")</x:f>
        <x:v>OK</x:v>
      </x:c>
    </x:row>
    <x:row r="18">
      <x:c r="C18" t="str">
        <x:v>Month 24 ending cash equals reserve</x:v>
      </x:c>
      <x:c r="D18" s="95" t="n">
        <x:f>'Monthly Burn'!Z19</x:f>
        <x:v>147000</x:v>
      </x:c>
      <x:c r="E18" s="95" t="n">
        <x:v>147000</x:v>
      </x:c>
      <x:c r="F18" t="str">
        <x:f>IF(D18=E18,"OK","Review")</x:f>
        <x:v>OK</x:v>
      </x:c>
    </x:row>
    <x:row r="19">
      <x:c r="C19" t="str">
        <x:v>Technology schedule</x:v>
      </x:c>
      <x:c r="D19" s="95" t="n">
        <x:f>SUM('Monthly Burn'!C8:Z8)</x:f>
        <x:v>650000</x:v>
      </x:c>
      <x:c r="E19" s="95" t="n">
        <x:v>650000</x:v>
      </x:c>
      <x:c r="F19" t="str">
        <x:f>IF(D19=E19,"OK","Review")</x:f>
        <x:v>OK</x:v>
      </x:c>
    </x:row>
    <x:row r="20">
      <x:c r="C20" t="str">
        <x:v>Token schedule</x:v>
      </x:c>
      <x:c r="D20" s="95" t="n">
        <x:f>SUM('Monthly Burn'!C12:Z12)</x:f>
        <x:v>125000</x:v>
      </x:c>
      <x:c r="E20" s="95" t="n">
        <x:v>125000</x:v>
      </x:c>
      <x:c r="F20" t="str">
        <x:f>IF(D20=E20,"OK","Review")</x:f>
        <x:v>OK</x:v>
      </x:c>
    </x:row>
    <x:row r="21">
      <x:c r="C21" t="str">
        <x:v>Market-development hub schedule</x:v>
      </x:c>
      <x:c r="D21" s="95" t="n">
        <x:f>SUM('Monthly Burn'!C15:Z15)</x:f>
        <x:v>100000</x:v>
      </x:c>
      <x:c r="E21" s="95" t="n">
        <x:v>100000</x:v>
      </x:c>
      <x:c r="F21" t="str">
        <x:f>IF(D21=E21,"OK","Review")</x:f>
        <x:v>OK</x:v>
      </x:c>
    </x:row>
    <x:row r="22">
      <x:c r="C22" t="str">
        <x:v>Year 1 revenue</x:v>
      </x:c>
      <x:c r="D22" s="95" t="n">
        <x:f>'Revenue Model'!D31</x:f>
        <x:v>225900</x:v>
      </x:c>
      <x:c r="E22" s="95" t="n">
        <x:v>225900</x:v>
      </x:c>
      <x:c r="F22" t="str">
        <x:f>IF(D22=E22,"OK","Review")</x:f>
        <x:v>OK</x:v>
      </x:c>
    </x:row>
    <x:row r="23">
      <x:c r="C23" t="str">
        <x:v>Token value included in revenue</x:v>
      </x:c>
      <x:c r="D23" t="str">
        <x:v>FALSE</x:v>
      </x:c>
      <x:c r="E23" t="str">
        <x:v>FALSE</x:v>
      </x:c>
      <x:c r="F23" t="str">
        <x:f>IF(D23=E23,"OK","Review")</x:f>
        <x:v>OK</x:v>
      </x:c>
    </x:row>
    <x:row r="24">
      <x:c r="C24" t="str">
        <x:v>Minimum investor ticket</x:v>
      </x:c>
      <x:c r="D24" s="95" t="n">
        <x:f>'Assumptions'!D20</x:f>
        <x:v>250000</x:v>
      </x:c>
      <x:c r="E24" s="95" t="n">
        <x:v>250000</x:v>
      </x:c>
      <x:c r="F24" t="str">
        <x:f>IF(D24=E24,"OK","Review")</x:f>
        <x:v>OK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style="4" customWidth="1"/>
    <x:col min="2" max="2" width="2" style="4" customWidth="1"/>
    <x:col min="3" max="3" width="40.560001373291016" style="4" customWidth="1"/>
    <x:col min="4" max="4" width="28.440000534057617" style="4" customWidth="1"/>
    <x:col min="5" max="5" width="10.220000267028809" style="4" customWidth="1"/>
    <x:col min="6" max="6" width="17.219999313354492" style="4" customWidth="1"/>
    <x:col min="7" max="7" width="89.55999755859375" style="4" customWidth="1"/>
    <x:col min="8" max="8" width="39.560001373291016" style="4" customWidth="1"/>
  </x:cols>
  <x:sheetData>
    <x:row r="1"/>
    <x:row r="2" s="4" customFormat="1" ht="19.200000762939453" customHeight="1">
      <x:c r="C2" s="2" t="inlineStr">
        <x:is>
          <x:t xml:space="preserve">Sources and Limits</x:t>
        </x:is>
      </x:c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s="4" customFormat="1" ht="15" customHeight="1">
      <x:c r="C3" s="3" t="inlineStr">
        <x:is>
          <x:t xml:space="preserve">Sources, assumptions and diligence limits. As of 2026-09-05.</x:t>
        </x:is>
      </x:c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/>
    <x:row r="5"/>
    <x:row r="6"/>
    <x:row r="7" s="4" customFormat="1" ht="15" customHeight="1">
      <x:c r="C7" s="13" t="inlineStr">
        <x:is>
          <x:t xml:space="preserve">Item</x:t>
        </x:is>
      </x:c>
      <x:c r="D7" s="13" t="inlineStr">
        <x:is>
          <x:t xml:space="preserve">Value</x:t>
        </x:is>
      </x:c>
      <x:c r="E7" s="13" t="inlineStr">
        <x:is>
          <x:t xml:space="preserve">Units</x:t>
        </x:is>
      </x:c>
      <x:c r="F7" s="13" t="inlineStr">
        <x:is>
          <x:t xml:space="preserve">Period / as-of</x:t>
        </x:is>
      </x:c>
      <x:c r="G7" s="13" t="inlineStr">
        <x:is>
          <x:t xml:space="preserve">Source</x:t>
        </x:is>
      </x:c>
      <x:c r="H7" s="13" t="inlineStr">
        <x:is>
          <x:t xml:space="preserve">Notes</x:t>
        </x:is>
      </x:c>
    </x:row>
    <x:row r="8" s="4" customFormat="1" ht="15" customHeight="1">
      <x:c r="C8" s="17" t="inlineStr">
        <x:is>
          <x:t xml:space="preserve">Round size</x:t>
        </x:is>
      </x:c>
      <x:c r="D8" s="18" t="inlineStr">
        <x:is>
          <x:t xml:space="preserve">2000000</x:t>
        </x:is>
      </x:c>
      <x:c r="E8" s="18" t="inlineStr">
        <x:is>
          <x:t xml:space="preserve">USD</x:t>
        </x:is>
      </x:c>
      <x:c r="F8" s="18" t="inlineStr">
        <x:is>
          <x:t xml:space="preserve">2026-09</x:t>
        </x:is>
      </x:c>
      <x:c r="G8" s="18" t="inlineStr">
        <x:is>
          <x:t xml:space="preserve">Founder instruction</x:t>
        </x:is>
      </x:c>
      <x:c r="H8" s="19" t="inlineStr">
        <x:is>
          <x:t xml:space="preserve">Pre-seed de-risking round.</x:t>
        </x:is>
      </x:c>
    </x:row>
    <x:row r="9" s="4" customFormat="1" ht="15" customHeight="1">
      <x:c r="C9" s="20" t="inlineStr">
        <x:is>
          <x:t xml:space="preserve">Founder draw</x:t>
        </x:is>
      </x:c>
      <x:c r="D9" s="21" t="inlineStr">
        <x:is>
          <x:t xml:space="preserve">7000</x:t>
        </x:is>
      </x:c>
      <x:c r="E9" s="21" t="inlineStr">
        <x:is>
          <x:t xml:space="preserve">USD/month</x:t>
        </x:is>
      </x:c>
      <x:c r="F9" s="21" t="inlineStr">
        <x:is>
          <x:t xml:space="preserve">24 months</x:t>
        </x:is>
      </x:c>
      <x:c r="G9" s="21" t="inlineStr">
        <x:is>
          <x:t xml:space="preserve">Founder instruction</x:t>
        </x:is>
      </x:c>
      <x:c r="H9" s="22" t="inlineStr">
        <x:is>
          <x:t xml:space="preserve">Disclosed as operating draw.</x:t>
        </x:is>
      </x:c>
    </x:row>
    <x:row r="10" s="4" customFormat="1" ht="15" customHeight="1">
      <x:c r="C10" s="20" t="inlineStr">
        <x:is>
          <x:t xml:space="preserve">Admin</x:t>
        </x:is>
      </x:c>
      <x:c r="D10" s="21" t="inlineStr">
        <x:is>
          <x:t xml:space="preserve">10000</x:t>
        </x:is>
      </x:c>
      <x:c r="E10" s="21" t="inlineStr">
        <x:is>
          <x:t xml:space="preserve">USD/month</x:t>
        </x:is>
      </x:c>
      <x:c r="F10" s="21" t="inlineStr">
        <x:is>
          <x:t xml:space="preserve">24 months</x:t>
        </x:is>
      </x:c>
      <x:c r="G10" s="21" t="inlineStr">
        <x:is>
          <x:t xml:space="preserve">Founder instruction</x:t>
        </x:is>
      </x:c>
      <x:c r="H10" s="22" t="inlineStr">
        <x:is>
          <x:t xml:space="preserve">Project operations backbone.</x:t>
        </x:is>
      </x:c>
    </x:row>
    <x:row r="11" s="4" customFormat="1" ht="15" customHeight="1">
      <x:c r="C11" s="20" t="inlineStr">
        <x:is>
          <x:t xml:space="preserve">RWA market context</x:t>
        </x:is>
      </x:c>
      <x:c r="D11" s="21" t="inlineStr">
        <x:is>
          <x:t xml:space="preserve">RWA market growing but fragmented</x:t>
        </x:is>
      </x:c>
      <x:c r="E11" s="21" t="inlineStr">
        <x:is>
          <x:t xml:space="preserve">Qualitative</x:t>
        </x:is>
      </x:c>
      <x:c r="F11" s="21" t="inlineStr">
        <x:is>
          <x:t xml:space="preserve">2026</x:t>
        </x:is>
      </x:c>
      <x:c r="G11" s="21" t="inlineStr">
        <x:is>
          <x:t xml:space="preserve">https://app.rwa.xyz/blog/announcing-real-estate-dashboard</x:t>
        </x:is>
      </x:c>
      <x:c r="H11" s="22" t="inlineStr">
        <x:is>
          <x:t xml:space="preserve">Secondary liquidity and standardization remain bottlenecks.</x:t>
        </x:is>
      </x:c>
    </x:row>
    <x:row r="12" s="4" customFormat="1" ht="15" customHeight="1">
      <x:c r="C12" s="20" t="inlineStr">
        <x:is>
          <x:t xml:space="preserve">Tokenization market context</x:t>
        </x:is>
      </x:c>
      <x:c r="D12" s="21" t="inlineStr">
        <x:is>
          <x:t xml:space="preserve">Dormant and concentrated on-chain value</x:t>
        </x:is>
      </x:c>
      <x:c r="E12" s="21" t="inlineStr">
        <x:is>
          <x:t xml:space="preserve">Qualitative</x:t>
        </x:is>
      </x:c>
      <x:c r="F12" s="21" t="inlineStr">
        <x:is>
          <x:t xml:space="preserve">2026</x:t>
        </x:is>
      </x:c>
      <x:c r="G12" s="21" t="inlineStr">
        <x:is>
          <x:t xml:space="preserve">https://research.beincrypto.com/tokenization-2026-report-first-edition</x:t>
        </x:is>
      </x:c>
      <x:c r="H12" s="22" t="inlineStr">
        <x:is>
          <x:t xml:space="preserve">Use as market context, not revenue projection.</x:t>
        </x:is>
      </x:c>
    </x:row>
    <x:row r="13" s="4" customFormat="1" ht="15" customHeight="1">
      <x:c r="C13" s="20" t="inlineStr">
        <x:is>
          <x:t xml:space="preserve">UK promotion perimeter</x:t>
        </x:is>
      </x:c>
      <x:c r="D13" s="21" t="inlineStr">
        <x:is>
          <x:t xml:space="preserve">Cryptoasset marketing rules</x:t>
        </x:is>
      </x:c>
      <x:c r="E13" s="21" t="inlineStr">
        <x:is>
          <x:t xml:space="preserve">Regulatory</x:t>
        </x:is>
      </x:c>
      <x:c r="F13" s="21" t="inlineStr">
        <x:is>
          <x:t xml:space="preserve">Last checked 2026-09-05</x:t>
        </x:is>
      </x:c>
      <x:c r="G13" s="21" t="inlineStr">
        <x:is>
          <x:t xml:space="preserve">https://www.fca.org.uk/firms/cryptoassets/marketing-uk-consumers</x:t>
        </x:is>
      </x:c>
      <x:c r="H13" s="22" t="inlineStr">
        <x:is>
          <x:t xml:space="preserve">Counsel required before public opportunity language.</x:t>
        </x:is>
      </x:c>
    </x:row>
    <x:row r="14" s="4" customFormat="1" ht="15" customHeight="1">
      <x:c r="C14" s="20" t="inlineStr">
        <x:is>
          <x:t xml:space="preserve">Tokenized private-market / RWA context</x:t>
        </x:is>
      </x:c>
      <x:c r="D14" s="21" t="inlineStr">
        <x:is>
          <x:t xml:space="preserve">Long-term growth forecast</x:t>
        </x:is>
      </x:c>
      <x:c r="E14" s="21" t="inlineStr">
        <x:is>
          <x:t xml:space="preserve">Market context</x:t>
        </x:is>
      </x:c>
      <x:c r="F14" s="21" t="inlineStr">
        <x:is>
          <x:t xml:space="preserve">2025</x:t>
        </x:is>
      </x:c>
      <x:c r="G14" s="21" t="inlineStr">
        <x:is>
          <x:t xml:space="preserve">https://www.deloitte.com/us/en/insights/industry/financial-services/financial-services-industry-predictions/2025/tokenized-real-estate.html</x:t>
        </x:is>
      </x:c>
      <x:c r="H14" s="22" t="inlineStr">
        <x:is>
          <x:t xml:space="preserve">Context only, not GlemO forecast.</x:t>
        </x:is>
      </x:c>
    </x:row>
    <x:row r="15" s="4" customFormat="1" ht="15" customHeight="1">
      <x:c r="C15" s="20" t="inlineStr">
        <x:is>
          <x:t xml:space="preserve">AI/distribution context</x:t>
        </x:is>
      </x:c>
      <x:c r="D15" s="21" t="inlineStr">
        <x:is>
          <x:t xml:space="preserve">Distribution and AI as operating advantage</x:t>
        </x:is>
      </x:c>
      <x:c r="E15" s="21" t="inlineStr">
        <x:is>
          <x:t xml:space="preserve">Qualitative</x:t>
        </x:is>
      </x:c>
      <x:c r="F15" s="21" t="inlineStr">
        <x:is>
          <x:t xml:space="preserve">2026</x:t>
        </x:is>
      </x:c>
      <x:c r="G15" s="21" t="inlineStr">
        <x:is>
          <x:t xml:space="preserve">https://www.bcg.com/publications/2026/an-imperative-for-growth-and-the-new-economics-of-asset-management</x:t>
        </x:is>
      </x:c>
      <x:c r="H15" s="22" t="inlineStr">
        <x:is>
          <x:t xml:space="preserve">Supports AI-native operating thesis.</x:t>
        </x:is>
      </x:c>
    </x:row>
    <x:row r="16" s="4" customFormat="1" ht="15" customHeight="1">
      <x:c r="C16" s="23" t="inlineStr">
        <x:is>
          <x:t xml:space="preserve">Legal status</x:t>
        </x:is>
      </x:c>
      <x:c r="D16" s="24" t="inlineStr">
        <x:is>
          <x:t xml:space="preserve">Not legal advice</x:t>
        </x:is>
      </x:c>
      <x:c r="E16" s="24" t="inlineStr">
        <x:is>
          <x:t xml:space="preserve">Limitation</x:t>
        </x:is>
      </x:c>
      <x:c r="F16" s="24" t="inlineStr">
        <x:is>
          <x:t xml:space="preserve">Current</x:t>
        </x:is>
      </x:c>
      <x:c r="G16" s="24" t="inlineStr">
        <x:is>
          <x:t xml:space="preserve">Internal note</x:t>
        </x:is>
      </x:c>
      <x:c r="H16" s="25" t="inlineStr">
        <x:is>
          <x:t xml:space="preserve">Final counsel memos required.</x:t>
        </x:is>
      </x:c>
    </x:row>
    <x:row r="17">
      <x:c r="C17" s="72" t="str">
        <x:v>Minimum investor ticket</x:v>
      </x:c>
      <x:c r="D17" s="72" t="str">
        <x:v>250000</x:v>
      </x:c>
      <x:c r="E17" s="72" t="str">
        <x:v>USD</x:v>
      </x:c>
      <x:c r="F17" s="72" t="str">
        <x:v>2026-09</x:v>
      </x:c>
      <x:c r="G17" s="72" t="str">
        <x:v>Founder instruction</x:v>
      </x:c>
      <x:c r="H17" s="72" t="str">
        <x:v>Minimum accepted from one investor.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46" hidden="0" customWidth="1"/>
  </x:cols>
  <x:sheetData>
    <x:row r="1">
      <x:c r="C1" s="129"/>
      <x:c r="D1" s="129"/>
      <x:c r="E1" s="129"/>
      <x:c r="F1" s="129"/>
      <x:c r="G1" s="129"/>
    </x:row>
    <x:row r="2" ht="30" customHeight="1">
      <x:c r="C2" s="117" t="str">
        <x:v>GlemO Conservative Revenue Model</x:v>
      </x:c>
      <x:c r="D2" s="117"/>
      <x:c r="E2" s="117"/>
      <x:c r="F2" s="117"/>
      <x:c r="G2" s="117"/>
    </x:row>
    <x:row r="3" ht="40" customHeight="1">
      <x:c r="C3" s="76" t="str">
        <x:v>Three-year operating case for an asset-class-neutral RWA distribution rail. Retail users are not monetized directly in this case; revenue comes from institutions, routed transactions, Enterprise SaaS and paid ecosystem-module tests.</x:v>
      </x:c>
      <x:c r="D3" s="76"/>
      <x:c r="E3" s="76"/>
      <x:c r="F3" s="76"/>
      <x:c r="G3" s="76"/>
    </x:row>
    <x:row r="4" ht="40" customHeight="1">
      <x:c r="C4" s="76"/>
      <x:c r="D4" s="76"/>
      <x:c r="E4" s="76"/>
      <x:c r="F4" s="76"/>
      <x:c r="G4" s="76"/>
    </x:row>
    <x:row r="5">
      <x:c r="C5" s="130"/>
      <x:c r="D5" s="130"/>
      <x:c r="E5" s="130"/>
      <x:c r="F5" s="130"/>
      <x:c r="G5" s="130"/>
    </x:row>
    <x:row r="6">
      <x:c r="C6" s="119" t="str">
        <x:v>Revenue assumptions</x:v>
      </x:c>
      <x:c r="D6" s="119"/>
      <x:c r="E6" s="119"/>
      <x:c r="F6" s="119"/>
      <x:c r="G6" s="119"/>
    </x:row>
    <x:row r="7">
      <x:c r="C7" s="89" t="str">
        <x:v>Driver</x:v>
      </x:c>
      <x:c r="D7" s="90" t="str">
        <x:v>Year 1</x:v>
      </x:c>
      <x:c r="E7" s="90" t="str">
        <x:v>Year 2</x:v>
      </x:c>
      <x:c r="F7" s="90" t="str">
        <x:v>Year 3</x:v>
      </x:c>
      <x:c r="G7" s="91" t="str">
        <x:v>Basis</x:v>
      </x:c>
    </x:row>
    <x:row r="8">
      <x:c r="C8" s="130" t="str">
        <x:v>Institutional partners</x:v>
      </x:c>
      <x:c r="D8" s="131" t="n">
        <x:v>2</x:v>
      </x:c>
      <x:c r="E8" s="131" t="n">
        <x:v>4</x:v>
      </x:c>
      <x:c r="F8" s="131" t="n">
        <x:v>8</x:v>
      </x:c>
      <x:c r="G8" s="130" t="str">
        <x:v>Banks, regulated firms and asset originators</x:v>
      </x:c>
    </x:row>
    <x:row r="9">
      <x:c r="C9" s="130" t="str">
        <x:v>Annual platform fee / partner</x:v>
      </x:c>
      <x:c r="D9" s="132" t="n">
        <x:v>36000</x:v>
      </x:c>
      <x:c r="E9" s="132" t="n">
        <x:v>48000</x:v>
      </x:c>
      <x:c r="F9" s="132" t="n">
        <x:v>60000</x:v>
      </x:c>
      <x:c r="G9" s="130" t="str">
        <x:v>US$3k, US$4k and US$5k per month</x:v>
      </x:c>
    </x:row>
    <x:row r="10">
      <x:c r="C10" s="130" t="str">
        <x:v>New institutional partners</x:v>
      </x:c>
      <x:c r="D10" s="131" t="n">
        <x:v>2</x:v>
      </x:c>
      <x:c r="E10" s="131" t="n">
        <x:v>2</x:v>
      </x:c>
      <x:c r="F10" s="131" t="n">
        <x:v>4</x:v>
      </x:c>
      <x:c r="G10" s="130" t="str">
        <x:v>Partners added in the year</x:v>
      </x:c>
    </x:row>
    <x:row r="11">
      <x:c r="C11" s="130" t="str">
        <x:v>One-time onboarding fee</x:v>
      </x:c>
      <x:c r="D11" s="132" t="n">
        <x:v>15000</x:v>
      </x:c>
      <x:c r="E11" s="132" t="n">
        <x:v>15000</x:v>
      </x:c>
      <x:c r="F11" s="132" t="n">
        <x:v>15000</x:v>
      </x:c>
      <x:c r="G11" s="130" t="str">
        <x:v>Per new institutional partner</x:v>
      </x:c>
    </x:row>
    <x:row r="12">
      <x:c r="C12" s="130" t="str">
        <x:v>Completed routed transactions</x:v>
      </x:c>
      <x:c r="D12" s="131" t="n">
        <x:v>6</x:v>
      </x:c>
      <x:c r="E12" s="131" t="n">
        <x:v>20</x:v>
      </x:c>
      <x:c r="F12" s="131" t="n">
        <x:v>60</x:v>
      </x:c>
      <x:c r="G12" s="130" t="str">
        <x:v>Only completed and fee-eligible transactions</x:v>
      </x:c>
    </x:row>
    <x:row r="13">
      <x:c r="C13" s="130" t="str">
        <x:v>Average routed volume / transaction</x:v>
      </x:c>
      <x:c r="D13" s="132" t="n">
        <x:v>500000</x:v>
      </x:c>
      <x:c r="E13" s="132" t="n">
        <x:v>750000</x:v>
      </x:c>
      <x:c r="F13" s="132" t="n">
        <x:v>1000000</x:v>
      </x:c>
      <x:c r="G13" s="130" t="str">
        <x:v>Underlying asset transaction value</x:v>
      </x:c>
    </x:row>
    <x:row r="14">
      <x:c r="C14" s="130" t="str">
        <x:v>Transaction take rate</x:v>
      </x:c>
      <x:c r="D14" s="133" t="n">
        <x:v>0.0015</x:v>
      </x:c>
      <x:c r="E14" s="133" t="n">
        <x:v>0.0015</x:v>
      </x:c>
      <x:c r="F14" s="133" t="n">
        <x:v>0.0015</x:v>
      </x:c>
      <x:c r="G14" s="130" t="str">
        <x:v>0.15% base case; editable</x:v>
      </x:c>
    </x:row>
    <x:row r="15">
      <x:c r="C15" s="130" t="str">
        <x:v>Enterprise SaaS average clients</x:v>
      </x:c>
      <x:c r="D15" s="131" t="n">
        <x:v>5</x:v>
      </x:c>
      <x:c r="E15" s="131" t="n">
        <x:v>15</x:v>
      </x:c>
      <x:c r="F15" s="131" t="n">
        <x:v>40</x:v>
      </x:c>
      <x:c r="G15" s="130" t="str">
        <x:v>Average paying accounts during the year</x:v>
      </x:c>
    </x:row>
    <x:row r="16">
      <x:c r="C16" s="130" t="str">
        <x:v>Enterprise SaaS monthly fee</x:v>
      </x:c>
      <x:c r="D16" s="132" t="n">
        <x:v>990</x:v>
      </x:c>
      <x:c r="E16" s="132" t="n">
        <x:v>990</x:v>
      </x:c>
      <x:c r="F16" s="132" t="n">
        <x:v>990</x:v>
      </x:c>
      <x:c r="G16" s="130" t="str">
        <x:v>Current product assumption</x:v>
      </x:c>
    </x:row>
    <x:row r="17">
      <x:c r="C17" s="130" t="str">
        <x:v>Ecosystem modules tested</x:v>
      </x:c>
      <x:c r="D17" s="131" t="n">
        <x:v>20</x:v>
      </x:c>
      <x:c r="E17" s="131" t="n">
        <x:v>40</x:v>
      </x:c>
      <x:c r="F17" s="131" t="n">
        <x:v>80</x:v>
      </x:c>
      <x:c r="G17" s="130" t="str">
        <x:v>Modules/extensions with a paid test</x:v>
      </x:c>
    </x:row>
    <x:row r="18">
      <x:c r="C18" s="130" t="str">
        <x:v>Paid testers / module</x:v>
      </x:c>
      <x:c r="D18" s="131" t="n">
        <x:v>10</x:v>
      </x:c>
      <x:c r="E18" s="131" t="n">
        <x:v>10</x:v>
      </x:c>
      <x:c r="F18" s="131" t="n">
        <x:v>10</x:v>
      </x:c>
      <x:c r="G18" s="130" t="str">
        <x:v>Demand validation cohort</x:v>
      </x:c>
    </x:row>
    <x:row r="19">
      <x:c r="C19" s="130" t="str">
        <x:v>Monthly module fee</x:v>
      </x:c>
      <x:c r="D19" s="132" t="n">
        <x:v>50</x:v>
      </x:c>
      <x:c r="E19" s="132" t="n">
        <x:v>50</x:v>
      </x:c>
      <x:c r="F19" s="132" t="n">
        <x:v>50</x:v>
      </x:c>
      <x:c r="G19" s="130" t="str">
        <x:v>Average paid test price</x:v>
      </x:c>
    </x:row>
    <x:row r="20">
      <x:c r="C20" s="130" t="str">
        <x:v>Active paid months</x:v>
      </x:c>
      <x:c r="D20" s="131" t="n">
        <x:v>6</x:v>
      </x:c>
      <x:c r="E20" s="131" t="n">
        <x:v>9</x:v>
      </x:c>
      <x:c r="F20" s="131" t="n">
        <x:v>12</x:v>
      </x:c>
      <x:c r="G20" s="130" t="str">
        <x:v>Conservative ramp, not a full-year assumption</x:v>
      </x:c>
    </x:row>
    <x:row r="21">
      <x:c r="C21" s="130" t="str">
        <x:v>Gross margin</x:v>
      </x:c>
      <x:c r="D21" s="134" t="n">
        <x:v>0.55</x:v>
      </x:c>
      <x:c r="E21" s="134" t="n">
        <x:v>0.6</x:v>
      </x:c>
      <x:c r="F21" s="134" t="n">
        <x:v>0.65</x:v>
      </x:c>
      <x:c r="G21" s="130" t="str">
        <x:v>Includes data, compliance, AI and payment costs</x:v>
      </x:c>
    </x:row>
    <x:row r="22">
      <x:c r="C22" s="130"/>
      <x:c r="D22" s="130"/>
      <x:c r="E22" s="130"/>
      <x:c r="F22" s="130"/>
      <x:c r="G22" s="130"/>
    </x:row>
    <x:row r="23">
      <x:c r="C23" s="119" t="str">
        <x:v>Revenue build</x:v>
      </x:c>
      <x:c r="D23" s="119"/>
      <x:c r="E23" s="119"/>
      <x:c r="F23" s="119"/>
      <x:c r="G23" s="119"/>
    </x:row>
    <x:row r="24">
      <x:c r="C24" s="89" t="str">
        <x:v>Revenue line</x:v>
      </x:c>
      <x:c r="D24" s="90" t="str">
        <x:v>Year 1</x:v>
      </x:c>
      <x:c r="E24" s="90" t="str">
        <x:v>Year 2</x:v>
      </x:c>
      <x:c r="F24" s="90" t="str">
        <x:v>Year 3</x:v>
      </x:c>
      <x:c r="G24" s="91" t="str">
        <x:v>Calculation</x:v>
      </x:c>
    </x:row>
    <x:row r="25">
      <x:c r="C25" s="130" t="str">
        <x:v>Institutional recurring fees</x:v>
      </x:c>
      <x:c r="D25" s="135" t="n">
        <x:f>D8*D9</x:f>
        <x:v>72000</x:v>
      </x:c>
      <x:c r="E25" s="135" t="n">
        <x:f>E8*E9</x:f>
        <x:v>192000</x:v>
      </x:c>
      <x:c r="F25" s="135" t="n">
        <x:f>F8*F9</x:f>
        <x:v>480000</x:v>
      </x:c>
      <x:c r="G25" s="130" t="str">
        <x:v>Partners x annual fee</x:v>
      </x:c>
    </x:row>
    <x:row r="26">
      <x:c r="C26" s="130" t="str">
        <x:v>Institutional onboarding fees</x:v>
      </x:c>
      <x:c r="D26" s="135" t="n">
        <x:f>D10*D11</x:f>
        <x:v>30000</x:v>
      </x:c>
      <x:c r="E26" s="135" t="n">
        <x:f>E10*E11</x:f>
        <x:v>30000</x:v>
      </x:c>
      <x:c r="F26" s="135" t="n">
        <x:f>F10*F11</x:f>
        <x:v>60000</x:v>
      </x:c>
      <x:c r="G26" s="130" t="str">
        <x:v>New partners x onboarding fee</x:v>
      </x:c>
    </x:row>
    <x:row r="27">
      <x:c r="C27" s="130" t="str">
        <x:v>Routed transaction volume</x:v>
      </x:c>
      <x:c r="D27" s="135" t="n">
        <x:f>D12*D13</x:f>
        <x:v>3000000</x:v>
      </x:c>
      <x:c r="E27" s="135" t="n">
        <x:f>E12*E13</x:f>
        <x:v>15000000</x:v>
      </x:c>
      <x:c r="F27" s="135" t="n">
        <x:f>F12*F13</x:f>
        <x:v>60000000</x:v>
      </x:c>
      <x:c r="G27" s="130" t="str">
        <x:v>Transactions x average volume</x:v>
      </x:c>
    </x:row>
    <x:row r="28">
      <x:c r="C28" s="130" t="str">
        <x:v>Transaction fees</x:v>
      </x:c>
      <x:c r="D28" s="135" t="n">
        <x:f>D27*D14</x:f>
        <x:v>4500</x:v>
      </x:c>
      <x:c r="E28" s="135" t="n">
        <x:f>E27*E14</x:f>
        <x:v>22500</x:v>
      </x:c>
      <x:c r="F28" s="135" t="n">
        <x:f>F27*F14</x:f>
        <x:v>90000</x:v>
      </x:c>
      <x:c r="G28" s="130" t="str">
        <x:v>Routed volume x take rate</x:v>
      </x:c>
    </x:row>
    <x:row r="29">
      <x:c r="C29" s="130" t="str">
        <x:v>Enterprise SaaS revenue</x:v>
      </x:c>
      <x:c r="D29" s="135" t="n">
        <x:f>D15*D16*12</x:f>
        <x:v>59400</x:v>
      </x:c>
      <x:c r="E29" s="135" t="n">
        <x:f>E15*E16*12</x:f>
        <x:v>178200</x:v>
      </x:c>
      <x:c r="F29" s="135" t="n">
        <x:f>F15*F16*12</x:f>
        <x:v>475200</x:v>
      </x:c>
      <x:c r="G29" s="130" t="str">
        <x:v>Average clients x monthly fee x 12</x:v>
      </x:c>
    </x:row>
    <x:row r="30">
      <x:c r="C30" s="130" t="str">
        <x:v>Ecosystem-module test revenue</x:v>
      </x:c>
      <x:c r="D30" s="135" t="n">
        <x:f>D17*D18*D19*D20</x:f>
        <x:v>60000</x:v>
      </x:c>
      <x:c r="E30" s="135" t="n">
        <x:f>E17*E18*E19*E20</x:f>
        <x:v>180000</x:v>
      </x:c>
      <x:c r="F30" s="135" t="n">
        <x:f>F17*F18*F19*F20</x:f>
        <x:v>480000</x:v>
      </x:c>
      <x:c r="G30" s="130" t="str">
        <x:v>Modules x testers x monthly fee x paid months</x:v>
      </x:c>
    </x:row>
    <x:row r="31">
      <x:c r="C31" s="136" t="str">
        <x:v>Total revenue</x:v>
      </x:c>
      <x:c r="D31" s="137" t="n">
        <x:f>SUM(D25:D26,D28:D30)</x:f>
        <x:v>225900</x:v>
      </x:c>
      <x:c r="E31" s="137" t="n">
        <x:f>SUM(E25:E26,E28:E30)</x:f>
        <x:v>602700</x:v>
      </x:c>
      <x:c r="F31" s="137" t="n">
        <x:f>SUM(F25:F26,F28:F30)</x:f>
        <x:v>1585200</x:v>
      </x:c>
      <x:c r="G31" s="136" t="str">
        <x:v>Sum of revenue lines</x:v>
      </x:c>
    </x:row>
    <x:row r="32">
      <x:c r="C32" s="130" t="str">
        <x:v>Cost of revenue</x:v>
      </x:c>
      <x:c r="D32" s="135" t="n">
        <x:f>D31*(1-D21)</x:f>
        <x:v>101654.99999999999</x:v>
      </x:c>
      <x:c r="E32" s="135" t="n">
        <x:f>E31*(1-E21)</x:f>
        <x:v>241080</x:v>
      </x:c>
      <x:c r="F32" s="135" t="n">
        <x:f>F31*(1-F21)</x:f>
        <x:v>554820</x:v>
      </x:c>
      <x:c r="G32" s="130" t="str">
        <x:v>Revenue x (1 - gross margin)</x:v>
      </x:c>
    </x:row>
    <x:row r="33">
      <x:c r="C33" s="138" t="str">
        <x:v>Gross profit</x:v>
      </x:c>
      <x:c r="D33" s="139" t="n">
        <x:f>D31-D32</x:f>
        <x:v>124245.00000000001</x:v>
      </x:c>
      <x:c r="E33" s="139" t="n">
        <x:f>E31-E32</x:f>
        <x:v>361620</x:v>
      </x:c>
      <x:c r="F33" s="139" t="n">
        <x:f>F31-F32</x:f>
        <x:v>1030380</x:v>
      </x:c>
      <x:c r="G33" s="138" t="str">
        <x:v>Revenue - cost of revenue</x:v>
      </x:c>
    </x:row>
    <x:row r="34">
      <x:c r="C34" s="130"/>
      <x:c r="D34" s="130"/>
      <x:c r="E34" s="130"/>
      <x:c r="F34" s="130"/>
      <x:c r="G34" s="130"/>
    </x:row>
    <x:row r="35">
      <x:c r="C35" s="105" t="str">
        <x:v>Interpretation: Year 1 proves willingness to pay and transaction routing. It is not a mature-market forecast. The 0.15% fee applies only to completed, compliant transactions and does not assume token appreciation or treasury gains.</x:v>
      </x:c>
      <x:c r="D35" s="105"/>
      <x:c r="E35" s="105"/>
      <x:c r="F35" s="105"/>
      <x:c r="G35" s="105"/>
    </x:row>
    <x:row r="36">
      <x:c r="C36" s="105"/>
      <x:c r="D36" s="105"/>
      <x:c r="E36" s="105"/>
      <x:c r="F36" s="105"/>
      <x:c r="G36" s="105"/>
    </x:row>
  </x:sheetData>
  <x:mergeCells>
    <x:mergeCell ref="C2:G2"/>
    <x:mergeCell ref="C3:G4"/>
    <x:mergeCell ref="C6:G6"/>
    <x:mergeCell ref="C23:G23"/>
    <x:mergeCell ref="C35:G3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46" hidden="0" customWidth="1"/>
  </x:cols>
  <x:sheetData>
    <x:row r="1">
      <x:c r="C1" s="129"/>
      <x:c r="D1" s="129"/>
      <x:c r="E1" s="129"/>
      <x:c r="F1" s="129"/>
      <x:c r="G1" s="129"/>
    </x:row>
    <x:row r="2" ht="30" customHeight="1">
      <x:c r="C2" s="117" t="str">
        <x:v>GlemO Three-Year Financial Projection</x:v>
      </x:c>
      <x:c r="D2" s="117"/>
      <x:c r="E2" s="117"/>
      <x:c r="F2" s="117"/>
      <x:c r="G2" s="117"/>
    </x:row>
    <x:row r="3" ht="40" customHeight="1">
      <x:c r="C3" s="76" t="str">
        <x:v>Conservative operating view. The first 24 months use the approved deployment schedule; Year 3 operating spend is an editable planning assumption. Token value, treasury appreciation and fundraising proceeds after the pre-seed are excluded.</x:v>
      </x:c>
      <x:c r="D3" s="76"/>
      <x:c r="E3" s="76"/>
      <x:c r="F3" s="76"/>
      <x:c r="G3" s="76"/>
    </x:row>
    <x:row r="4" ht="40" customHeight="1">
      <x:c r="C4" s="76"/>
      <x:c r="D4" s="76"/>
      <x:c r="E4" s="76"/>
      <x:c r="F4" s="76"/>
      <x:c r="G4" s="76"/>
    </x:row>
    <x:row r="5">
      <x:c r="C5" s="130"/>
      <x:c r="D5" s="130"/>
      <x:c r="E5" s="130"/>
      <x:c r="F5" s="130"/>
      <x:c r="G5" s="130"/>
    </x:row>
    <x:row r="6">
      <x:c r="C6" s="89" t="str">
        <x:v>Metric</x:v>
      </x:c>
      <x:c r="D6" s="90" t="str">
        <x:v>Year 1</x:v>
      </x:c>
      <x:c r="E6" s="90" t="str">
        <x:v>Year 2</x:v>
      </x:c>
      <x:c r="F6" s="91" t="str">
        <x:v>Year 3</x:v>
      </x:c>
      <x:c r="G6" s="130"/>
    </x:row>
    <x:row r="7">
      <x:c r="C7" s="130" t="str">
        <x:v>Revenue</x:v>
      </x:c>
      <x:c r="D7" s="135" t="n">
        <x:f>'Revenue Model'!D31</x:f>
        <x:v>225900</x:v>
      </x:c>
      <x:c r="E7" s="135" t="n">
        <x:f>'Revenue Model'!E31</x:f>
        <x:v>602700</x:v>
      </x:c>
      <x:c r="F7" s="135" t="n">
        <x:f>'Revenue Model'!F31</x:f>
        <x:v>1585200</x:v>
      </x:c>
      <x:c r="G7" s="130"/>
    </x:row>
    <x:row r="8">
      <x:c r="C8" s="130" t="str">
        <x:v>Cost of revenue</x:v>
      </x:c>
      <x:c r="D8" s="135" t="n">
        <x:f>'Revenue Model'!D32</x:f>
        <x:v>101654.99999999999</x:v>
      </x:c>
      <x:c r="E8" s="135" t="n">
        <x:f>'Revenue Model'!E32</x:f>
        <x:v>241080</x:v>
      </x:c>
      <x:c r="F8" s="135" t="n">
        <x:f>'Revenue Model'!F32</x:f>
        <x:v>554820</x:v>
      </x:c>
      <x:c r="G8" s="130"/>
    </x:row>
    <x:row r="9">
      <x:c r="C9" s="138" t="str">
        <x:v>Gross profit</x:v>
      </x:c>
      <x:c r="D9" s="139" t="n">
        <x:f>'Revenue Model'!D33</x:f>
        <x:v>124245.00000000001</x:v>
      </x:c>
      <x:c r="E9" s="139" t="n">
        <x:f>'Revenue Model'!E33</x:f>
        <x:v>361620</x:v>
      </x:c>
      <x:c r="F9" s="139" t="n">
        <x:f>'Revenue Model'!F33</x:f>
        <x:v>1030380</x:v>
      </x:c>
      <x:c r="G9" s="130"/>
    </x:row>
    <x:row r="10">
      <x:c r="C10" s="130" t="str">
        <x:v>Gross margin</x:v>
      </x:c>
      <x:c r="D10" s="144" t="n">
        <x:f>'Revenue Model'!D21</x:f>
        <x:v>0.55</x:v>
      </x:c>
      <x:c r="E10" s="144" t="n">
        <x:f>'Revenue Model'!E21</x:f>
        <x:v>0.6</x:v>
      </x:c>
      <x:c r="F10" s="144" t="n">
        <x:f>'Revenue Model'!F21</x:f>
        <x:v>0.65</x:v>
      </x:c>
      <x:c r="G10" s="130"/>
    </x:row>
    <x:row r="11">
      <x:c r="C11" s="130" t="str">
        <x:v>Operating deployment spend</x:v>
      </x:c>
      <x:c r="D11" s="135" t="n">
        <x:f>SUM('Monthly Burn'!C17:N17)</x:f>
        <x:v>958994</x:v>
      </x:c>
      <x:c r="E11" s="135" t="n">
        <x:f>SUM('Monthly Burn'!O17:Z17)</x:f>
        <x:v>894006</x:v>
      </x:c>
      <x:c r="F11" s="132" t="n">
        <x:f>1200000</x:f>
        <x:v>1200000</x:v>
      </x:c>
      <x:c r="G11" s="130"/>
    </x:row>
    <x:row r="12">
      <x:c r="C12" s="145" t="str">
        <x:v>EBITDA / operating result</x:v>
      </x:c>
      <x:c r="D12" s="146" t="n">
        <x:f>D9-D11</x:f>
        <x:v>-834749</x:v>
      </x:c>
      <x:c r="E12" s="146" t="n">
        <x:f>E9-E11</x:f>
        <x:v>-532386</x:v>
      </x:c>
      <x:c r="F12" s="146" t="n">
        <x:f>F9-F11</x:f>
        <x:v>-169620</x:v>
      </x:c>
      <x:c r="G12" s="130"/>
    </x:row>
    <x:row r="13">
      <x:c r="C13" s="130" t="str">
        <x:v>Opening cash</x:v>
      </x:c>
      <x:c r="D13" s="135" t="n">
        <x:f>'Assumptions'!D8</x:f>
        <x:v>2000000</x:v>
      </x:c>
      <x:c r="E13" s="135" t="n">
        <x:f>D16</x:f>
        <x:v>1165251</x:v>
      </x:c>
      <x:c r="F13" s="135" t="n">
        <x:f>E16</x:f>
        <x:v>632865</x:v>
      </x:c>
      <x:c r="G13" s="130"/>
    </x:row>
    <x:row r="14">
      <x:c r="C14" s="130" t="str">
        <x:v>External financing</x:v>
      </x:c>
      <x:c r="D14" s="135" t="n">
        <x:v>0</x:v>
      </x:c>
      <x:c r="E14" s="135" t="n">
        <x:v>0</x:v>
      </x:c>
      <x:c r="F14" s="135" t="n">
        <x:v>0</x:v>
      </x:c>
      <x:c r="G14" s="130"/>
    </x:row>
    <x:row r="15">
      <x:c r="C15" s="130" t="str">
        <x:v>Net cash movement</x:v>
      </x:c>
      <x:c r="D15" s="135" t="n">
        <x:f>D12+D14</x:f>
        <x:v>-834749</x:v>
      </x:c>
      <x:c r="E15" s="135" t="n">
        <x:f>E12+E14</x:f>
        <x:v>-532386</x:v>
      </x:c>
      <x:c r="F15" s="135" t="n">
        <x:f>F12+F14</x:f>
        <x:v>-169620</x:v>
      </x:c>
      <x:c r="G15" s="130"/>
    </x:row>
    <x:row r="16">
      <x:c r="C16" s="136" t="str">
        <x:v>Ending cash</x:v>
      </x:c>
      <x:c r="D16" s="137" t="n">
        <x:f>D13+D15</x:f>
        <x:v>1165251</x:v>
      </x:c>
      <x:c r="E16" s="137" t="n">
        <x:f>E13+E15</x:f>
        <x:v>632865</x:v>
      </x:c>
      <x:c r="F16" s="137" t="n">
        <x:f>F13+F15</x:f>
        <x:v>463245</x:v>
      </x:c>
      <x:c r="G16" s="130"/>
    </x:row>
    <x:row r="17">
      <x:c r="C17" s="130" t="str">
        <x:v>Completed routed volume</x:v>
      </x:c>
      <x:c r="D17" s="135" t="n">
        <x:f>'Revenue Model'!D27</x:f>
        <x:v>3000000</x:v>
      </x:c>
      <x:c r="E17" s="135" t="n">
        <x:f>'Revenue Model'!E27</x:f>
        <x:v>15000000</x:v>
      </x:c>
      <x:c r="F17" s="135" t="n">
        <x:f>'Revenue Model'!F27</x:f>
        <x:v>60000000</x:v>
      </x:c>
      <x:c r="G17" s="130"/>
    </x:row>
    <x:row r="18">
      <x:c r="C18" s="130" t="str">
        <x:v>Enterprise SaaS average clients</x:v>
      </x:c>
      <x:c r="D18" s="147" t="n">
        <x:f>'Revenue Model'!D15</x:f>
        <x:v>5</x:v>
      </x:c>
      <x:c r="E18" s="147" t="n">
        <x:f>'Revenue Model'!E15</x:f>
        <x:v>15</x:v>
      </x:c>
      <x:c r="F18" s="147" t="n">
        <x:f>'Revenue Model'!F15</x:f>
        <x:v>40</x:v>
      </x:c>
      <x:c r="G18" s="130"/>
    </x:row>
    <x:row r="19">
      <x:c r="C19" s="130"/>
      <x:c r="D19" s="130"/>
      <x:c r="E19" s="130"/>
      <x:c r="F19" s="130"/>
      <x:c r="G19" s="130"/>
    </x:row>
    <x:row r="20">
      <x:c r="C20" s="105" t="str">
        <x:v>This projection is a planning case, not guidance. Institutional fees require signed commercial agreements. Transaction fees require compliant execution. The model intentionally excludes token sale proceeds, token-price appreciation and secondary-market liquidity assumptions.</x:v>
      </x:c>
      <x:c r="D20" s="105"/>
      <x:c r="E20" s="105"/>
      <x:c r="F20" s="105"/>
      <x:c r="G20" s="105"/>
    </x:row>
    <x:row r="21">
      <x:c r="C21" s="105"/>
      <x:c r="D21" s="105"/>
      <x:c r="E21" s="105"/>
      <x:c r="F21" s="105"/>
      <x:c r="G21" s="105"/>
    </x:row>
    <x:row r="22">
      <x:c r="C22" s="105"/>
      <x:c r="D22" s="105"/>
      <x:c r="E22" s="105"/>
      <x:c r="F22" s="105"/>
      <x:c r="G22" s="105"/>
    </x:row>
  </x:sheetData>
  <x:mergeCells>
    <x:mergeCell ref="C2:G2"/>
    <x:mergeCell ref="C3:G4"/>
    <x:mergeCell ref="C20:G22"/>
  </x:mergeCells>
  <x:pageMargins left="0.7" right="0.7" top="0.75" bottom="0.75" header="0.3" footer="0.3"/>
</x:worksheet>
</file>